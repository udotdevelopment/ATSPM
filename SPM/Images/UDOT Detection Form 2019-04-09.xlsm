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1 Work Files\Detection\Detection Form April 2019\"/>
    </mc:Choice>
  </mc:AlternateContent>
  <bookViews>
    <workbookView xWindow="28695" yWindow="-15" windowWidth="28755" windowHeight="12615"/>
  </bookViews>
  <sheets>
    <sheet name="Interactive Form" sheetId="6" r:id="rId1"/>
    <sheet name="Purpose and Instructions" sheetId="13" r:id="rId2"/>
    <sheet name="Quick Instructions" sheetId="16" r:id="rId3"/>
    <sheet name="Printout of Interactive Form" sheetId="14" r:id="rId4"/>
    <sheet name="Printable Form Instructions" sheetId="7" r:id="rId5"/>
    <sheet name="Table 1" sheetId="8" r:id="rId6"/>
    <sheet name="Tables 2a&amp;2b" sheetId="10" r:id="rId7"/>
    <sheet name="Blank Printable Form" sheetId="15" r:id="rId8"/>
  </sheets>
  <definedNames>
    <definedName name="_xlnm.Print_Area" localSheetId="0">'Interactive Form'!$AR$7</definedName>
    <definedName name="_xlnm.Print_Area" localSheetId="3">'Printout of Interactive Form'!$A$1:$R$50</definedName>
    <definedName name="_xlnm.Print_Titles" localSheetId="1">'Purpose and Instructions'!$1:$2</definedName>
  </definedNames>
  <calcPr calcId="152511"/>
</workbook>
</file>

<file path=xl/calcChain.xml><?xml version="1.0" encoding="utf-8"?>
<calcChain xmlns="http://schemas.openxmlformats.org/spreadsheetml/2006/main">
  <c r="O20" i="6" l="1"/>
  <c r="M20" i="6"/>
  <c r="M23" i="6" s="1"/>
  <c r="M21" i="6" s="1"/>
  <c r="E13" i="10"/>
  <c r="E14" i="10"/>
  <c r="E15" i="10"/>
  <c r="E16" i="10"/>
  <c r="E17" i="10"/>
  <c r="E18" i="10"/>
  <c r="E19" i="10"/>
  <c r="E20" i="10"/>
  <c r="E21" i="10"/>
  <c r="E22" i="10"/>
  <c r="E12" i="10"/>
  <c r="K6" i="14"/>
  <c r="K32" i="14" s="1"/>
  <c r="L6" i="14"/>
  <c r="L21" i="14" s="1"/>
  <c r="M6" i="14"/>
  <c r="M32" i="14" s="1"/>
  <c r="N6" i="14"/>
  <c r="N21" i="14" s="1"/>
  <c r="O6" i="14"/>
  <c r="O21" i="14" s="1"/>
  <c r="P6" i="14"/>
  <c r="P32" i="14" s="1"/>
  <c r="Q6" i="14"/>
  <c r="Q32" i="14" s="1"/>
  <c r="J6" i="14"/>
  <c r="J21" i="14" s="1"/>
  <c r="K40" i="6"/>
  <c r="L40" i="6"/>
  <c r="M40" i="6"/>
  <c r="N40" i="6"/>
  <c r="O40" i="6"/>
  <c r="P40" i="6"/>
  <c r="Q40" i="6"/>
  <c r="J40" i="6"/>
  <c r="Q29" i="6"/>
  <c r="P29" i="6"/>
  <c r="O29" i="6"/>
  <c r="N29" i="6"/>
  <c r="M29" i="6"/>
  <c r="L29" i="6"/>
  <c r="K29" i="6"/>
  <c r="J29" i="6"/>
  <c r="Q19" i="6"/>
  <c r="P19" i="6"/>
  <c r="O19" i="6"/>
  <c r="N19" i="6"/>
  <c r="M19" i="6"/>
  <c r="L19" i="6"/>
  <c r="K19" i="6"/>
  <c r="J19" i="6"/>
  <c r="M25" i="6"/>
  <c r="O22" i="6"/>
  <c r="O21" i="6"/>
  <c r="M24" i="6"/>
  <c r="M22" i="6"/>
  <c r="K21" i="6"/>
  <c r="K22" i="6"/>
  <c r="A2" i="16"/>
  <c r="P21" i="14" l="1"/>
  <c r="N32" i="14"/>
  <c r="M21" i="14"/>
  <c r="K21" i="14"/>
  <c r="J32" i="14"/>
  <c r="O32" i="14"/>
  <c r="L32" i="14"/>
  <c r="Q21" i="14"/>
  <c r="G46" i="8"/>
  <c r="H46" i="8"/>
  <c r="I46" i="8"/>
  <c r="J46" i="8"/>
  <c r="K46" i="8"/>
  <c r="L46" i="8"/>
  <c r="M46" i="8"/>
  <c r="N46" i="8"/>
  <c r="G47" i="8"/>
  <c r="H47" i="8"/>
  <c r="I47" i="8"/>
  <c r="J47" i="8"/>
  <c r="K47" i="8"/>
  <c r="L47" i="8"/>
  <c r="M47" i="8"/>
  <c r="N47" i="8"/>
  <c r="G48" i="8"/>
  <c r="H48" i="8"/>
  <c r="I48" i="8"/>
  <c r="J48" i="8"/>
  <c r="K48" i="8"/>
  <c r="L48" i="8"/>
  <c r="M48" i="8"/>
  <c r="O18" i="8"/>
  <c r="O19" i="8"/>
  <c r="O20" i="8"/>
  <c r="O21" i="8"/>
  <c r="O22" i="8"/>
  <c r="O23" i="8"/>
  <c r="O24" i="8"/>
  <c r="O25" i="8"/>
  <c r="O26" i="8"/>
  <c r="O27" i="8"/>
  <c r="O28" i="8"/>
  <c r="O29" i="8"/>
  <c r="O30" i="8"/>
  <c r="O17" i="8"/>
  <c r="I42" i="15"/>
  <c r="H42" i="15"/>
  <c r="I41" i="15"/>
  <c r="H41" i="15"/>
  <c r="I40" i="15"/>
  <c r="H40" i="15"/>
  <c r="I39" i="15"/>
  <c r="H39" i="15"/>
  <c r="I38" i="15"/>
  <c r="H38" i="15"/>
  <c r="I37" i="15"/>
  <c r="H37" i="15"/>
  <c r="I36" i="15"/>
  <c r="H36" i="15"/>
  <c r="H35" i="15"/>
  <c r="H34" i="15"/>
  <c r="A2" i="15"/>
  <c r="A1" i="15"/>
  <c r="I31" i="6"/>
  <c r="I34" i="14" s="1"/>
  <c r="I30" i="6"/>
  <c r="I33" i="14" s="1"/>
  <c r="H34" i="14"/>
  <c r="H35" i="14"/>
  <c r="I35" i="14"/>
  <c r="H36" i="14"/>
  <c r="I36" i="14"/>
  <c r="H37" i="14"/>
  <c r="I37" i="14"/>
  <c r="H38" i="14"/>
  <c r="I38" i="14"/>
  <c r="H39" i="14"/>
  <c r="I39" i="14"/>
  <c r="H40" i="14"/>
  <c r="I40" i="14"/>
  <c r="H41" i="14"/>
  <c r="I41" i="14"/>
  <c r="H33" i="14"/>
  <c r="J34" i="14"/>
  <c r="K34" i="14"/>
  <c r="L34" i="14"/>
  <c r="M34" i="14"/>
  <c r="N34" i="14"/>
  <c r="O34" i="14"/>
  <c r="P34" i="14"/>
  <c r="Q34" i="14"/>
  <c r="J35" i="14"/>
  <c r="K35" i="14"/>
  <c r="L35" i="14"/>
  <c r="M35" i="14"/>
  <c r="N35" i="14"/>
  <c r="O35" i="14"/>
  <c r="P35" i="14"/>
  <c r="Q35" i="14"/>
  <c r="J36" i="14"/>
  <c r="K36" i="14"/>
  <c r="L36" i="14"/>
  <c r="M36" i="14"/>
  <c r="N36" i="14"/>
  <c r="O36" i="14"/>
  <c r="P36" i="14"/>
  <c r="Q36" i="14"/>
  <c r="J37" i="14"/>
  <c r="K37" i="14"/>
  <c r="L37" i="14"/>
  <c r="M37" i="14"/>
  <c r="N37" i="14"/>
  <c r="O37" i="14"/>
  <c r="P37" i="14"/>
  <c r="Q37" i="14"/>
  <c r="J38" i="14"/>
  <c r="K38" i="14"/>
  <c r="L38" i="14"/>
  <c r="M38" i="14"/>
  <c r="N38" i="14"/>
  <c r="O38" i="14"/>
  <c r="P38" i="14"/>
  <c r="Q38" i="14"/>
  <c r="J39" i="14"/>
  <c r="K39" i="14"/>
  <c r="L39" i="14"/>
  <c r="M39" i="14"/>
  <c r="N39" i="14"/>
  <c r="O39" i="14"/>
  <c r="P39" i="14"/>
  <c r="Q39" i="14"/>
  <c r="J40" i="14"/>
  <c r="K40" i="14"/>
  <c r="L40" i="14"/>
  <c r="M40" i="14"/>
  <c r="N40" i="14"/>
  <c r="O40" i="14"/>
  <c r="P40" i="14"/>
  <c r="Q40" i="14"/>
  <c r="J41" i="14"/>
  <c r="K41" i="14"/>
  <c r="L41" i="14"/>
  <c r="M41" i="14"/>
  <c r="N41" i="14"/>
  <c r="O41" i="14"/>
  <c r="P41" i="14"/>
  <c r="Q41" i="14"/>
  <c r="K33" i="14"/>
  <c r="L33" i="14"/>
  <c r="M33" i="14"/>
  <c r="N33" i="14"/>
  <c r="O33" i="14"/>
  <c r="P33" i="14"/>
  <c r="Q33" i="14"/>
  <c r="J33" i="14"/>
  <c r="J23" i="14"/>
  <c r="L23" i="14"/>
  <c r="N23" i="14"/>
  <c r="P23" i="14"/>
  <c r="J24" i="14"/>
  <c r="L24" i="14"/>
  <c r="N24" i="14"/>
  <c r="P24" i="14"/>
  <c r="J25" i="14"/>
  <c r="L25" i="14"/>
  <c r="N25" i="14"/>
  <c r="P25" i="14"/>
  <c r="J26" i="14"/>
  <c r="L26" i="14"/>
  <c r="N26" i="14"/>
  <c r="P26" i="14"/>
  <c r="J27" i="14"/>
  <c r="L27" i="14"/>
  <c r="N27" i="14"/>
  <c r="P27" i="14"/>
  <c r="K28" i="14"/>
  <c r="M28" i="14"/>
  <c r="O28" i="14"/>
  <c r="Q28" i="14"/>
  <c r="K29" i="14"/>
  <c r="M29" i="14"/>
  <c r="O29" i="14"/>
  <c r="Q29" i="14"/>
  <c r="J8" i="14"/>
  <c r="K8" i="14"/>
  <c r="L8" i="14"/>
  <c r="M8" i="14"/>
  <c r="N8" i="14"/>
  <c r="O8" i="14"/>
  <c r="P8" i="14"/>
  <c r="Q8" i="14"/>
  <c r="J9" i="14"/>
  <c r="K9" i="14"/>
  <c r="L9" i="14"/>
  <c r="M9" i="14"/>
  <c r="N9" i="14"/>
  <c r="O9" i="14"/>
  <c r="P9" i="14"/>
  <c r="Q9" i="14"/>
  <c r="J10" i="14"/>
  <c r="K10" i="14"/>
  <c r="L10" i="14"/>
  <c r="M10" i="14"/>
  <c r="N10" i="14"/>
  <c r="O10" i="14"/>
  <c r="P10" i="14"/>
  <c r="Q10" i="14"/>
  <c r="J11" i="14"/>
  <c r="K11" i="14"/>
  <c r="L11" i="14"/>
  <c r="M11" i="14"/>
  <c r="N11" i="14"/>
  <c r="O11" i="14"/>
  <c r="P11" i="14"/>
  <c r="Q11" i="14"/>
  <c r="J12" i="14"/>
  <c r="K12" i="14"/>
  <c r="L12" i="14"/>
  <c r="M12" i="14"/>
  <c r="N12" i="14"/>
  <c r="O12" i="14"/>
  <c r="P12" i="14"/>
  <c r="Q12" i="14"/>
  <c r="J13" i="14"/>
  <c r="K13" i="14"/>
  <c r="L13" i="14"/>
  <c r="M13" i="14"/>
  <c r="N13" i="14"/>
  <c r="O13" i="14"/>
  <c r="P13" i="14"/>
  <c r="Q13" i="14"/>
  <c r="J14" i="14"/>
  <c r="K14" i="14"/>
  <c r="L14" i="14"/>
  <c r="M14" i="14"/>
  <c r="N14" i="14"/>
  <c r="O14" i="14"/>
  <c r="P14" i="14"/>
  <c r="Q14" i="14"/>
  <c r="J15" i="14"/>
  <c r="K15" i="14"/>
  <c r="L15" i="14"/>
  <c r="M15" i="14"/>
  <c r="N15" i="14"/>
  <c r="O15" i="14"/>
  <c r="P15" i="14"/>
  <c r="Q15" i="14"/>
  <c r="J16" i="14"/>
  <c r="K16" i="14"/>
  <c r="L16" i="14"/>
  <c r="M16" i="14"/>
  <c r="N16" i="14"/>
  <c r="O16" i="14"/>
  <c r="P16" i="14"/>
  <c r="Q16" i="14"/>
  <c r="J17" i="14"/>
  <c r="K17" i="14"/>
  <c r="L17" i="14"/>
  <c r="M17" i="14"/>
  <c r="N17" i="14"/>
  <c r="O17" i="14"/>
  <c r="P17" i="14"/>
  <c r="Q17" i="14"/>
  <c r="J18" i="14"/>
  <c r="K18" i="14"/>
  <c r="L18" i="14"/>
  <c r="M18" i="14"/>
  <c r="N18" i="14"/>
  <c r="O18" i="14"/>
  <c r="P18" i="14"/>
  <c r="Q18" i="14"/>
  <c r="J19" i="14"/>
  <c r="K19" i="14"/>
  <c r="L19" i="14"/>
  <c r="M19" i="14"/>
  <c r="N19" i="14"/>
  <c r="O19" i="14"/>
  <c r="P19" i="14"/>
  <c r="Q19" i="14"/>
  <c r="K7" i="14"/>
  <c r="L7" i="14"/>
  <c r="M7" i="14"/>
  <c r="N7" i="14"/>
  <c r="O7" i="14"/>
  <c r="P7" i="14"/>
  <c r="Q7" i="14"/>
  <c r="J7" i="14"/>
  <c r="P4" i="14"/>
  <c r="G4" i="14"/>
  <c r="D4" i="14"/>
  <c r="C3" i="14"/>
  <c r="A2" i="14"/>
  <c r="A1" i="14"/>
  <c r="J50" i="6"/>
  <c r="P44" i="6"/>
  <c r="N44" i="6"/>
  <c r="L44" i="6"/>
  <c r="P50" i="6"/>
  <c r="P49" i="6"/>
  <c r="P48" i="6"/>
  <c r="P47" i="6"/>
  <c r="P46" i="6"/>
  <c r="P45" i="6"/>
  <c r="N50" i="6"/>
  <c r="N49" i="6"/>
  <c r="N48" i="6"/>
  <c r="N47" i="6"/>
  <c r="N46" i="6"/>
  <c r="N45" i="6"/>
  <c r="L50" i="6"/>
  <c r="L49" i="6"/>
  <c r="L48" i="6"/>
  <c r="L47" i="6"/>
  <c r="L46" i="6"/>
  <c r="L45" i="6"/>
  <c r="J49" i="6"/>
  <c r="J44" i="6"/>
  <c r="J48" i="6"/>
  <c r="J47" i="6"/>
  <c r="J46" i="6"/>
  <c r="J45" i="6"/>
  <c r="A2" i="13"/>
  <c r="I35" i="15" l="1"/>
  <c r="I34" i="15"/>
  <c r="P51" i="6"/>
  <c r="N51" i="6"/>
  <c r="L51" i="6"/>
  <c r="J51" i="6"/>
  <c r="M26" i="14"/>
  <c r="J42" i="6" l="1"/>
  <c r="J20" i="6" s="1"/>
  <c r="J22" i="14" s="1"/>
  <c r="P42" i="6"/>
  <c r="N42" i="6"/>
  <c r="L42" i="6"/>
  <c r="K43" i="6"/>
  <c r="K24" i="6" s="1"/>
  <c r="M43" i="6"/>
  <c r="O43" i="6"/>
  <c r="Q43" i="6"/>
  <c r="Q25" i="6" l="1"/>
  <c r="Q27" i="14" s="1"/>
  <c r="Q22" i="6"/>
  <c r="Q24" i="6"/>
  <c r="Q26" i="14" s="1"/>
  <c r="O25" i="6"/>
  <c r="O27" i="14" s="1"/>
  <c r="O24" i="6"/>
  <c r="O26" i="14" s="1"/>
  <c r="K26" i="14"/>
  <c r="K25" i="6"/>
  <c r="K27" i="14" s="1"/>
  <c r="K24" i="14"/>
  <c r="Q41" i="6"/>
  <c r="Q24" i="14"/>
  <c r="M41" i="6"/>
  <c r="M27" i="14"/>
  <c r="M24" i="14"/>
  <c r="N20" i="6"/>
  <c r="N22" i="14" s="1"/>
  <c r="L20" i="6"/>
  <c r="L22" i="14" s="1"/>
  <c r="P20" i="6"/>
  <c r="P22" i="14" s="1"/>
  <c r="O24" i="14"/>
  <c r="K41" i="6"/>
  <c r="M42" i="6"/>
  <c r="O42" i="6"/>
  <c r="O41" i="6"/>
  <c r="Q42" i="6"/>
  <c r="Q20" i="6" s="1"/>
  <c r="K42" i="6"/>
  <c r="K20" i="6" s="1"/>
  <c r="B50" i="10"/>
  <c r="B49" i="10"/>
  <c r="B48" i="10"/>
  <c r="B47" i="10"/>
  <c r="B46" i="10"/>
  <c r="B45" i="10"/>
  <c r="B44" i="10"/>
  <c r="B43" i="10"/>
  <c r="B42" i="10"/>
  <c r="B41" i="10"/>
  <c r="B40" i="10"/>
  <c r="B13" i="10"/>
  <c r="B14" i="10"/>
  <c r="B15" i="10"/>
  <c r="B16" i="10"/>
  <c r="B17" i="10"/>
  <c r="B18" i="10"/>
  <c r="B19" i="10"/>
  <c r="B20" i="10"/>
  <c r="B21" i="10"/>
  <c r="B22" i="10"/>
  <c r="B12" i="10"/>
  <c r="M22" i="14" l="1"/>
  <c r="L26" i="6"/>
  <c r="L28" i="14" s="1"/>
  <c r="L27" i="6"/>
  <c r="L29" i="14" s="1"/>
  <c r="O22" i="14"/>
  <c r="Q23" i="6"/>
  <c r="Q21" i="6" s="1"/>
  <c r="A3" i="7"/>
  <c r="E41" i="10"/>
  <c r="E42" i="10"/>
  <c r="E43" i="10"/>
  <c r="E44" i="10"/>
  <c r="E45" i="10"/>
  <c r="E46" i="10"/>
  <c r="E47" i="10"/>
  <c r="E48" i="10"/>
  <c r="E49" i="10"/>
  <c r="E50" i="10"/>
  <c r="E40" i="10"/>
  <c r="G41" i="10"/>
  <c r="G42" i="10"/>
  <c r="G43" i="10"/>
  <c r="G44" i="10"/>
  <c r="G45" i="10"/>
  <c r="G46" i="10"/>
  <c r="G47" i="10"/>
  <c r="G48" i="10"/>
  <c r="G49" i="10"/>
  <c r="G50" i="10"/>
  <c r="G40" i="10"/>
  <c r="F41" i="10"/>
  <c r="F42" i="10"/>
  <c r="F43" i="10"/>
  <c r="F44" i="10"/>
  <c r="F45" i="10"/>
  <c r="F46" i="10"/>
  <c r="F47" i="10"/>
  <c r="F48" i="10"/>
  <c r="F49" i="10"/>
  <c r="F50" i="10"/>
  <c r="F40" i="10"/>
  <c r="G22" i="10"/>
  <c r="C22" i="10"/>
  <c r="G21" i="10"/>
  <c r="C21" i="10"/>
  <c r="G20" i="10"/>
  <c r="C20" i="10"/>
  <c r="G19" i="10"/>
  <c r="C19" i="10"/>
  <c r="G18" i="10"/>
  <c r="C18" i="10"/>
  <c r="G17" i="10"/>
  <c r="C17" i="10"/>
  <c r="G16" i="10"/>
  <c r="C16" i="10"/>
  <c r="G15" i="10"/>
  <c r="C15" i="10"/>
  <c r="G14" i="10"/>
  <c r="C14" i="10"/>
  <c r="G13" i="10"/>
  <c r="C13" i="10"/>
  <c r="G12" i="10"/>
  <c r="C12" i="10"/>
  <c r="A3" i="10"/>
  <c r="C50" i="10"/>
  <c r="C49" i="10"/>
  <c r="C48" i="10"/>
  <c r="C47" i="10"/>
  <c r="C46" i="10"/>
  <c r="C45" i="10"/>
  <c r="C44" i="10"/>
  <c r="C43" i="10"/>
  <c r="C42" i="10"/>
  <c r="C41" i="10"/>
  <c r="C40" i="10"/>
  <c r="A31" i="10"/>
  <c r="A3" i="8"/>
  <c r="O23" i="6" l="1"/>
  <c r="K22" i="14"/>
  <c r="K23" i="6"/>
  <c r="M23" i="14"/>
  <c r="M25" i="14"/>
  <c r="Q22" i="14"/>
  <c r="N26" i="6"/>
  <c r="N28" i="14" s="1"/>
  <c r="N27" i="6"/>
  <c r="N29" i="14" s="1"/>
  <c r="J26" i="6"/>
  <c r="J28" i="14" s="1"/>
  <c r="J27" i="6"/>
  <c r="J29" i="14" s="1"/>
  <c r="P26" i="6"/>
  <c r="P28" i="14" s="1"/>
  <c r="P27" i="6"/>
  <c r="P29" i="14" s="1"/>
  <c r="N44" i="8"/>
  <c r="N45" i="8"/>
  <c r="N18" i="8"/>
  <c r="N19" i="8"/>
  <c r="N20" i="8"/>
  <c r="N21" i="8"/>
  <c r="N22" i="8"/>
  <c r="N23" i="8"/>
  <c r="N24" i="8"/>
  <c r="N25" i="8"/>
  <c r="N26" i="8"/>
  <c r="N27" i="8"/>
  <c r="N28" i="8"/>
  <c r="N29" i="8"/>
  <c r="N30" i="8"/>
  <c r="N31" i="8"/>
  <c r="N32" i="8"/>
  <c r="N33" i="8"/>
  <c r="N34" i="8"/>
  <c r="N35" i="8"/>
  <c r="N36" i="8"/>
  <c r="N37" i="8"/>
  <c r="N38" i="8"/>
  <c r="N39" i="8"/>
  <c r="N40" i="8"/>
  <c r="N41" i="8"/>
  <c r="N42" i="8"/>
  <c r="N43" i="8"/>
  <c r="N17" i="8"/>
  <c r="Q23" i="14" l="1"/>
  <c r="Q25" i="14"/>
  <c r="O25" i="14"/>
  <c r="O23" i="14"/>
  <c r="K25" i="14"/>
  <c r="K23" i="14"/>
  <c r="B18" i="8"/>
  <c r="C18" i="8"/>
  <c r="D18" i="8"/>
  <c r="E18" i="8"/>
  <c r="F18" i="8"/>
  <c r="G18" i="8"/>
  <c r="H18" i="8"/>
  <c r="I18" i="8"/>
  <c r="J18" i="8"/>
  <c r="K18" i="8"/>
  <c r="L18" i="8"/>
  <c r="M18" i="8"/>
  <c r="B19" i="8"/>
  <c r="C19" i="8"/>
  <c r="D19" i="8"/>
  <c r="E19" i="8"/>
  <c r="F19" i="8"/>
  <c r="G19" i="8"/>
  <c r="H19" i="8"/>
  <c r="I19" i="8"/>
  <c r="J19" i="8"/>
  <c r="K19" i="8"/>
  <c r="L19" i="8"/>
  <c r="M19" i="8"/>
  <c r="B20" i="8"/>
  <c r="C20" i="8"/>
  <c r="D20" i="8"/>
  <c r="E20" i="8"/>
  <c r="F20" i="8"/>
  <c r="G20" i="8"/>
  <c r="H20" i="8"/>
  <c r="I20" i="8"/>
  <c r="J20" i="8"/>
  <c r="K20" i="8"/>
  <c r="L20" i="8"/>
  <c r="M20" i="8"/>
  <c r="B21" i="8"/>
  <c r="C21" i="8"/>
  <c r="D21" i="8"/>
  <c r="E21" i="8"/>
  <c r="F21" i="8"/>
  <c r="G21" i="8"/>
  <c r="H21" i="8"/>
  <c r="I21" i="8"/>
  <c r="J21" i="8"/>
  <c r="K21" i="8"/>
  <c r="L21" i="8"/>
  <c r="M21" i="8"/>
  <c r="B22" i="8"/>
  <c r="C22" i="8"/>
  <c r="D22" i="8"/>
  <c r="E22" i="8"/>
  <c r="F22" i="8"/>
  <c r="G22" i="8"/>
  <c r="H22" i="8"/>
  <c r="I22" i="8"/>
  <c r="J22" i="8"/>
  <c r="K22" i="8"/>
  <c r="L22" i="8"/>
  <c r="M22" i="8"/>
  <c r="B23" i="8"/>
  <c r="C23" i="8"/>
  <c r="D23" i="8"/>
  <c r="E23" i="8"/>
  <c r="F23" i="8"/>
  <c r="G23" i="8"/>
  <c r="H23" i="8"/>
  <c r="I23" i="8"/>
  <c r="J23" i="8"/>
  <c r="K23" i="8"/>
  <c r="L23" i="8"/>
  <c r="M23" i="8"/>
  <c r="B24" i="8"/>
  <c r="C24" i="8"/>
  <c r="D24" i="8"/>
  <c r="E24" i="8"/>
  <c r="F24" i="8"/>
  <c r="G24" i="8"/>
  <c r="H24" i="8"/>
  <c r="I24" i="8"/>
  <c r="J24" i="8"/>
  <c r="K24" i="8"/>
  <c r="L24" i="8"/>
  <c r="M24" i="8"/>
  <c r="B25" i="8"/>
  <c r="C25" i="8"/>
  <c r="D25" i="8"/>
  <c r="E25" i="8"/>
  <c r="F25" i="8"/>
  <c r="G25" i="8"/>
  <c r="H25" i="8"/>
  <c r="I25" i="8"/>
  <c r="J25" i="8"/>
  <c r="K25" i="8"/>
  <c r="L25" i="8"/>
  <c r="M25" i="8"/>
  <c r="B26" i="8"/>
  <c r="C26" i="8"/>
  <c r="D26" i="8"/>
  <c r="E26" i="8"/>
  <c r="F26" i="8"/>
  <c r="G26" i="8"/>
  <c r="H26" i="8"/>
  <c r="I26" i="8"/>
  <c r="J26" i="8"/>
  <c r="K26" i="8"/>
  <c r="L26" i="8"/>
  <c r="M26" i="8"/>
  <c r="B27" i="8"/>
  <c r="C27" i="8"/>
  <c r="D27" i="8"/>
  <c r="E27" i="8"/>
  <c r="F27" i="8"/>
  <c r="G27" i="8"/>
  <c r="H27" i="8"/>
  <c r="I27" i="8"/>
  <c r="J27" i="8"/>
  <c r="K27" i="8"/>
  <c r="L27" i="8"/>
  <c r="M27" i="8"/>
  <c r="B28" i="8"/>
  <c r="C28" i="8"/>
  <c r="D28" i="8"/>
  <c r="E28" i="8"/>
  <c r="F28" i="8"/>
  <c r="G28" i="8"/>
  <c r="H28" i="8"/>
  <c r="I28" i="8"/>
  <c r="J28" i="8"/>
  <c r="K28" i="8"/>
  <c r="L28" i="8"/>
  <c r="M28" i="8"/>
  <c r="B29" i="8"/>
  <c r="C29" i="8"/>
  <c r="D29" i="8"/>
  <c r="E29" i="8"/>
  <c r="F29" i="8"/>
  <c r="G29" i="8"/>
  <c r="H29" i="8"/>
  <c r="I29" i="8"/>
  <c r="J29" i="8"/>
  <c r="K29" i="8"/>
  <c r="L29" i="8"/>
  <c r="M29" i="8"/>
  <c r="B30" i="8"/>
  <c r="C30" i="8"/>
  <c r="D30" i="8"/>
  <c r="E30" i="8"/>
  <c r="F30" i="8"/>
  <c r="G30" i="8"/>
  <c r="H30" i="8"/>
  <c r="I30" i="8"/>
  <c r="J30" i="8"/>
  <c r="K30" i="8"/>
  <c r="L30" i="8"/>
  <c r="M30" i="8"/>
  <c r="C31" i="8"/>
  <c r="D31" i="8"/>
  <c r="E31" i="8"/>
  <c r="F31" i="8"/>
  <c r="G31" i="8"/>
  <c r="H31" i="8"/>
  <c r="I31" i="8"/>
  <c r="J31" i="8"/>
  <c r="K31" i="8"/>
  <c r="L31" i="8"/>
  <c r="M31" i="8"/>
  <c r="C32" i="8"/>
  <c r="D32" i="8"/>
  <c r="E32" i="8"/>
  <c r="F32" i="8"/>
  <c r="G32" i="8"/>
  <c r="H32" i="8"/>
  <c r="I32" i="8"/>
  <c r="J32" i="8"/>
  <c r="K32" i="8"/>
  <c r="L32" i="8"/>
  <c r="M32" i="8"/>
  <c r="C33" i="8"/>
  <c r="D33" i="8"/>
  <c r="E33" i="8"/>
  <c r="F33" i="8"/>
  <c r="G33" i="8"/>
  <c r="H33" i="8"/>
  <c r="I33" i="8"/>
  <c r="J33" i="8"/>
  <c r="K33" i="8"/>
  <c r="L33" i="8"/>
  <c r="M33" i="8"/>
  <c r="D34" i="8"/>
  <c r="E34" i="8"/>
  <c r="F34" i="8"/>
  <c r="G34" i="8"/>
  <c r="H34" i="8"/>
  <c r="I34" i="8"/>
  <c r="J34" i="8"/>
  <c r="K34" i="8"/>
  <c r="L34" i="8"/>
  <c r="M34" i="8"/>
  <c r="D35" i="8"/>
  <c r="E35" i="8"/>
  <c r="F35" i="8"/>
  <c r="G35" i="8"/>
  <c r="H35" i="8"/>
  <c r="I35" i="8"/>
  <c r="J35" i="8"/>
  <c r="K35" i="8"/>
  <c r="L35" i="8"/>
  <c r="M35" i="8"/>
  <c r="D36" i="8"/>
  <c r="E36" i="8"/>
  <c r="F36" i="8"/>
  <c r="G36" i="8"/>
  <c r="H36" i="8"/>
  <c r="I36" i="8"/>
  <c r="J36" i="8"/>
  <c r="K36" i="8"/>
  <c r="L36" i="8"/>
  <c r="M36" i="8"/>
  <c r="D37" i="8"/>
  <c r="E37" i="8"/>
  <c r="F37" i="8"/>
  <c r="G37" i="8"/>
  <c r="H37" i="8"/>
  <c r="I37" i="8"/>
  <c r="J37" i="8"/>
  <c r="K37" i="8"/>
  <c r="L37" i="8"/>
  <c r="M37" i="8"/>
  <c r="E38" i="8"/>
  <c r="F38" i="8"/>
  <c r="G38" i="8"/>
  <c r="H38" i="8"/>
  <c r="I38" i="8"/>
  <c r="J38" i="8"/>
  <c r="K38" i="8"/>
  <c r="L38" i="8"/>
  <c r="M38" i="8"/>
  <c r="E39" i="8"/>
  <c r="F39" i="8"/>
  <c r="G39" i="8"/>
  <c r="H39" i="8"/>
  <c r="I39" i="8"/>
  <c r="J39" i="8"/>
  <c r="K39" i="8"/>
  <c r="L39" i="8"/>
  <c r="M39" i="8"/>
  <c r="E40" i="8"/>
  <c r="F40" i="8"/>
  <c r="G40" i="8"/>
  <c r="H40" i="8"/>
  <c r="I40" i="8"/>
  <c r="J40" i="8"/>
  <c r="K40" i="8"/>
  <c r="L40" i="8"/>
  <c r="M40" i="8"/>
  <c r="E41" i="8"/>
  <c r="F41" i="8"/>
  <c r="G41" i="8"/>
  <c r="H41" i="8"/>
  <c r="I41" i="8"/>
  <c r="J41" i="8"/>
  <c r="K41" i="8"/>
  <c r="L41" i="8"/>
  <c r="M41" i="8"/>
  <c r="F42" i="8"/>
  <c r="G42" i="8"/>
  <c r="H42" i="8"/>
  <c r="I42" i="8"/>
  <c r="J42" i="8"/>
  <c r="K42" i="8"/>
  <c r="L42" i="8"/>
  <c r="M42" i="8"/>
  <c r="F43" i="8"/>
  <c r="G43" i="8"/>
  <c r="H43" i="8"/>
  <c r="I43" i="8"/>
  <c r="J43" i="8"/>
  <c r="K43" i="8"/>
  <c r="L43" i="8"/>
  <c r="M43" i="8"/>
  <c r="F44" i="8"/>
  <c r="G44" i="8"/>
  <c r="H44" i="8"/>
  <c r="I44" i="8"/>
  <c r="J44" i="8"/>
  <c r="K44" i="8"/>
  <c r="L44" i="8"/>
  <c r="M44" i="8"/>
  <c r="F45" i="8"/>
  <c r="G45" i="8"/>
  <c r="H45" i="8"/>
  <c r="I45" i="8"/>
  <c r="J45" i="8"/>
  <c r="K45" i="8"/>
  <c r="L45" i="8"/>
  <c r="M45" i="8"/>
  <c r="C17" i="8"/>
  <c r="D17" i="8"/>
  <c r="E17" i="8"/>
  <c r="F17" i="8"/>
  <c r="G17" i="8"/>
  <c r="H17" i="8"/>
  <c r="I17" i="8"/>
  <c r="J17" i="8"/>
  <c r="K17" i="8"/>
  <c r="L17" i="8"/>
  <c r="M17" i="8"/>
  <c r="B17" i="8"/>
</calcChain>
</file>

<file path=xl/comments1.xml><?xml version="1.0" encoding="utf-8"?>
<comments xmlns="http://schemas.openxmlformats.org/spreadsheetml/2006/main">
  <authors>
    <author>Matt Luker</author>
    <author xml:space="preserve"> Matt Luker</author>
  </authors>
  <commentList>
    <comment ref="A4" authorId="0" shapeId="0">
      <text>
        <r>
          <rPr>
            <b/>
            <sz val="9"/>
            <color indexed="81"/>
            <rFont val="Tahoma"/>
            <family val="2"/>
          </rPr>
          <t>Matt Luker:</t>
        </r>
        <r>
          <rPr>
            <sz val="9"/>
            <color indexed="81"/>
            <rFont val="Tahoma"/>
            <family val="2"/>
          </rPr>
          <t xml:space="preserve">
Phase numbers to the right may be changed for display purposes only.  Numbers in orange are calculated as left turns; numbers in blue are calculated as thrus.
</t>
        </r>
      </text>
    </comment>
    <comment ref="S20" authorId="1" shapeId="0">
      <text>
        <r>
          <rPr>
            <sz val="9"/>
            <color indexed="81"/>
            <rFont val="Tahoma"/>
            <family val="2"/>
          </rPr>
          <t xml:space="preserve">Formula is from </t>
        </r>
        <r>
          <rPr>
            <i/>
            <sz val="9"/>
            <color indexed="81"/>
            <rFont val="Tahoma"/>
            <family val="2"/>
          </rPr>
          <t>Signal Timing Manual.</t>
        </r>
        <r>
          <rPr>
            <sz val="9"/>
            <color indexed="81"/>
            <rFont val="Tahoma"/>
            <family val="2"/>
          </rPr>
          <t xml:space="preserve">  For Queue Clearance zone in Advance, smaller of Average Speed and Max Speed Filter is used to calculate this value.  For stop-bar detectors, average speed is used.</t>
        </r>
      </text>
    </comment>
    <comment ref="S21" authorId="1" shapeId="0">
      <text>
        <r>
          <rPr>
            <sz val="9"/>
            <color indexed="81"/>
            <rFont val="Tahoma"/>
            <family val="2"/>
          </rPr>
          <t xml:space="preserve">Formula is based on a linear regression of plots of 85th-%ile Speed vs. Min ETA - 1s (assumed passage time) from </t>
        </r>
        <r>
          <rPr>
            <i/>
            <sz val="9"/>
            <color indexed="81"/>
            <rFont val="Tahoma"/>
            <family val="2"/>
          </rPr>
          <t>Radar Advance Extended Range Setup Procedures 12-7-12</t>
        </r>
        <r>
          <rPr>
            <sz val="9"/>
            <color indexed="81"/>
            <rFont val="Tahoma"/>
            <family val="2"/>
          </rPr>
          <t xml:space="preserve"> and then accounting for passage time calculated above</t>
        </r>
      </text>
    </comment>
    <comment ref="S22" authorId="1" shapeId="0">
      <text>
        <r>
          <rPr>
            <sz val="9"/>
            <color indexed="81"/>
            <rFont val="Tahoma"/>
            <family val="2"/>
          </rPr>
          <t xml:space="preserve">Formula is based on a linear regression of plots of 85th-%ile Speed vs. Max ETA from </t>
        </r>
        <r>
          <rPr>
            <i/>
            <sz val="9"/>
            <color indexed="81"/>
            <rFont val="Tahoma"/>
            <family val="2"/>
          </rPr>
          <t>Radar Advance Extended Range Setup Procedures 12-7-12</t>
        </r>
      </text>
    </comment>
    <comment ref="S23" authorId="1" shapeId="0">
      <text>
        <r>
          <rPr>
            <sz val="9"/>
            <color indexed="81"/>
            <rFont val="Tahoma"/>
            <family val="2"/>
          </rPr>
          <t xml:space="preserve">Formula is based on a linear regression of plots of 85th-%ile Speed vs. Min ETA - 1s (assumed passage time) from </t>
        </r>
        <r>
          <rPr>
            <i/>
            <sz val="9"/>
            <color indexed="81"/>
            <rFont val="Tahoma"/>
            <family val="2"/>
          </rPr>
          <t>Radar Advance Extended Range Setup Procedures 12-7-12</t>
        </r>
        <r>
          <rPr>
            <sz val="9"/>
            <color indexed="81"/>
            <rFont val="Tahoma"/>
            <family val="2"/>
          </rPr>
          <t xml:space="preserve"> and then accounting for passage time calculated above</t>
        </r>
      </text>
    </comment>
    <comment ref="S24" authorId="1" shapeId="0">
      <text>
        <r>
          <rPr>
            <sz val="9"/>
            <color indexed="81"/>
            <rFont val="Tahoma"/>
            <family val="2"/>
          </rPr>
          <t xml:space="preserve">Formula is based on a linear regression of plots of 85th-%ile Speed vs. Max ETA from </t>
        </r>
        <r>
          <rPr>
            <i/>
            <sz val="9"/>
            <color indexed="81"/>
            <rFont val="Tahoma"/>
            <family val="2"/>
          </rPr>
          <t>Radar Advance Extended Range Setup Procedures 12-7-12</t>
        </r>
      </text>
    </comment>
    <comment ref="A25" authorId="1" shapeId="0">
      <text>
        <r>
          <rPr>
            <sz val="9"/>
            <color indexed="81"/>
            <rFont val="Tahoma"/>
            <family val="2"/>
          </rPr>
          <t>This assumes that Advance is located at the stop-bar.</t>
        </r>
      </text>
    </comment>
    <comment ref="S30" authorId="1" shapeId="0">
      <text>
        <r>
          <rPr>
            <sz val="9"/>
            <color indexed="81"/>
            <rFont val="Tahoma"/>
            <family val="2"/>
          </rPr>
          <t xml:space="preserve">Value of 20 feet is from </t>
        </r>
        <r>
          <rPr>
            <i/>
            <sz val="9"/>
            <color indexed="81"/>
            <rFont val="Tahoma"/>
            <family val="2"/>
          </rPr>
          <t>Signal Timing Manual</t>
        </r>
      </text>
    </comment>
    <comment ref="S31" authorId="1" shapeId="0">
      <text>
        <r>
          <rPr>
            <sz val="9"/>
            <color indexed="81"/>
            <rFont val="Tahoma"/>
            <family val="2"/>
          </rPr>
          <t xml:space="preserve">Value of 3.0s is from </t>
        </r>
        <r>
          <rPr>
            <i/>
            <sz val="9"/>
            <color indexed="81"/>
            <rFont val="Tahoma"/>
            <family val="2"/>
          </rPr>
          <t>Signal Timing Manual</t>
        </r>
      </text>
    </comment>
    <comment ref="S32" authorId="1" shapeId="0">
      <text>
        <r>
          <rPr>
            <sz val="9"/>
            <color indexed="81"/>
            <rFont val="Tahoma"/>
            <family val="2"/>
          </rPr>
          <t xml:space="preserve">Method of using Posted Speed + 7 to approximate 85th-Percentile Speed is from </t>
        </r>
        <r>
          <rPr>
            <i/>
            <sz val="9"/>
            <color indexed="81"/>
            <rFont val="Tahoma"/>
            <family val="2"/>
          </rPr>
          <t>Radar Advance Extended Range Setup Procedures 12-7-2012</t>
        </r>
      </text>
    </comment>
    <comment ref="S33" authorId="1" shapeId="0">
      <text>
        <r>
          <rPr>
            <sz val="9"/>
            <color indexed="81"/>
            <rFont val="Tahoma"/>
            <family val="2"/>
          </rPr>
          <t xml:space="preserve">Method of using 88% of 85th-Percentile Speed to approximate Average Speed is from </t>
        </r>
        <r>
          <rPr>
            <i/>
            <sz val="9"/>
            <color indexed="81"/>
            <rFont val="Tahoma"/>
            <family val="2"/>
          </rPr>
          <t>Signal Timing Manual</t>
        </r>
      </text>
    </comment>
    <comment ref="S34" authorId="1" shapeId="0">
      <text>
        <r>
          <rPr>
            <sz val="9"/>
            <color indexed="81"/>
            <rFont val="Tahoma"/>
            <family val="2"/>
          </rPr>
          <t>Method of using 85th-%ile speed - 21mph to approximate 15th-%ile speed is from Dr. Carroll Messer</t>
        </r>
      </text>
    </comment>
  </commentList>
</comments>
</file>

<file path=xl/sharedStrings.xml><?xml version="1.0" encoding="utf-8"?>
<sst xmlns="http://schemas.openxmlformats.org/spreadsheetml/2006/main" count="458" uniqueCount="239">
  <si>
    <t>mph</t>
  </si>
  <si>
    <t>s</t>
  </si>
  <si>
    <t>ft</t>
  </si>
  <si>
    <t>Average Approach Speed, Thru Movement:</t>
  </si>
  <si>
    <t>85th-Percentile Approach Speed, Thru Movement:</t>
  </si>
  <si>
    <t>User Inputs</t>
  </si>
  <si>
    <t>Posted Speed Limit:</t>
  </si>
  <si>
    <t>Outputs</t>
  </si>
  <si>
    <t>Leave as 0 or blank if you don't have actual measurements</t>
  </si>
  <si>
    <t>Typically 3.0; increase by 0.1 for each 1% of upgrade; increase by 1.0 if lots of heavy vehicles</t>
  </si>
  <si>
    <t>Typically 7; this will not be used if 85th-%ile is explicitly entered above.</t>
  </si>
  <si>
    <t>%</t>
  </si>
  <si>
    <t>Typically 88; this will not be used if average is explicitly entered above.</t>
  </si>
  <si>
    <t>Typically 21; this will not be used if 15th-%ile is explicitly entered above.</t>
  </si>
  <si>
    <t>15th-Percentile Speed:</t>
  </si>
  <si>
    <t>Average Speed:</t>
  </si>
  <si>
    <t>85th-Percentile Speed:</t>
  </si>
  <si>
    <t>15th-Percentile Approach Speed, Thru Movement:</t>
  </si>
  <si>
    <t>- Do NOT include a queue clearance zone in the Advance detector</t>
  </si>
  <si>
    <t>Used for calculating Min ETA</t>
  </si>
  <si>
    <t>Used for calculating Passage Time</t>
  </si>
  <si>
    <t>Used for calculating Max ETA</t>
  </si>
  <si>
    <t>If the approach HAS STOP-BAR DETECTION:</t>
  </si>
  <si>
    <t>If the approach DOES NOT HAVE STOP-BAR DETECTION:</t>
  </si>
  <si>
    <t>Typically 600.  Adjust if aiming makes effective range shorter.</t>
  </si>
  <si>
    <t>Max range of Advance Extended Range:</t>
  </si>
  <si>
    <t>Max range of Legacy Advance:</t>
  </si>
  <si>
    <t>Typically 900.  Adjust if aiming makes effective range shorter.</t>
  </si>
  <si>
    <t>Step 1:</t>
  </si>
  <si>
    <t>Table 1:  Phase Passage/Vehicle Extension Time Based on Detector Length and Posted Speed Limit</t>
  </si>
  <si>
    <t>Assumptions in this table:</t>
  </si>
  <si>
    <t>Posted Speed Limit, mph</t>
  </si>
  <si>
    <t>Results in the grayed-out area are less than 0.0  
Use of a shorter detector is recommended</t>
  </si>
  <si>
    <t>Step 2:</t>
  </si>
  <si>
    <t>Determine Advance min/max ETA using the phase passage/vehicle extension time from Table 1 and posted speed limit in Table 2.</t>
  </si>
  <si>
    <t>If there is no stop-bar detection, enter 0 and use queue clearance length below</t>
  </si>
  <si>
    <t>Max Speed Filter for Queue Clearance Zone:</t>
  </si>
  <si>
    <t>Typically 35.</t>
  </si>
  <si>
    <t>This field will be used only if Length of Stop-Bar above is 0.</t>
  </si>
  <si>
    <t>Length of Detector, ft</t>
  </si>
  <si>
    <t>Be sure to use the right-most column if Advance Queue Clearance zone is used in place of stop-bar presence detection.</t>
  </si>
  <si>
    <t xml:space="preserve">Note:  Average Speed is used only for stop-bar presence detection. </t>
  </si>
  <si>
    <t>For Queue Clearance zone, max speed of 35mph is used directly.</t>
  </si>
  <si>
    <t>Use Table 2b with Advance Extended Range.</t>
  </si>
  <si>
    <r>
      <t xml:space="preserve">Rounded to nearest 0.1s and accounting for Passage Time.  </t>
    </r>
    <r>
      <rPr>
        <b/>
        <sz val="11"/>
        <color theme="1"/>
        <rFont val="Calibri"/>
        <family val="2"/>
        <scheme val="minor"/>
      </rPr>
      <t>Program into Wavetronix.</t>
    </r>
  </si>
  <si>
    <t>Blue Cells show VALUES TO PROGRAM INTO CONTROLLER OR DETECTION</t>
  </si>
  <si>
    <r>
      <t xml:space="preserve">- Queue clearance zone should have </t>
    </r>
    <r>
      <rPr>
        <b/>
        <sz val="10"/>
        <color theme="1"/>
        <rFont val="Calibri"/>
        <family val="2"/>
        <scheme val="minor"/>
      </rPr>
      <t>max speed filter</t>
    </r>
    <r>
      <rPr>
        <sz val="10"/>
        <color theme="1"/>
        <rFont val="Calibri"/>
        <family val="2"/>
        <scheme val="minor"/>
      </rPr>
      <t xml:space="preserve"> set, typically to 35mph, but </t>
    </r>
    <r>
      <rPr>
        <b/>
        <sz val="10"/>
        <color theme="1"/>
        <rFont val="Calibri"/>
        <family val="2"/>
        <scheme val="minor"/>
      </rPr>
      <t>no ETA filter</t>
    </r>
  </si>
  <si>
    <t>- Set stop-bar detector channel(s) in controller to Type "P - Passage Type Queue/Stop Bar"</t>
  </si>
  <si>
    <t>For Advance Extended Range:</t>
  </si>
  <si>
    <t>- Use "Priority" mode.  Set "Discovery Range" to the point beyond which trucks but not cars are detected.</t>
  </si>
  <si>
    <t>- Use TRUCKS Min ETA/TRUCKS Max ETA from this sheet as the ETA thresholds in Level 1.</t>
  </si>
  <si>
    <t>- Use CARS Min ETA/CARS Max ETA from this sheet as the ETA thresholds in Level 2.</t>
  </si>
  <si>
    <t>- "Range" should be as large as possible within limits of radar coverage for both Level 1 and Level 2.</t>
  </si>
  <si>
    <t>For "Legacy" Advance (not Extended Range):</t>
  </si>
  <si>
    <t>- Use "Simple" or "Normal" mode.</t>
  </si>
  <si>
    <t>- Use Legacy Advance Min ETA/Legacy Advance Max ETA as the ETA thresholds.</t>
  </si>
  <si>
    <t>- "Range" should be as large as possible within the limits of radar coverage.</t>
  </si>
  <si>
    <t>Speed Filters:</t>
  </si>
  <si>
    <t>- If there are a lot of heavy trucks, severe weather, and/or a lack of stop-bar detection, consider setting lower speed filter to a smaller value, or disabling the speed filter altogether.</t>
  </si>
  <si>
    <t>If any of these assumptions are not valid, do not use this table - use the interactive form.</t>
  </si>
  <si>
    <t>Table 2a: Min/Max ETA for Legacy Advance</t>
  </si>
  <si>
    <t>+ Passage Time</t>
  </si>
  <si>
    <t>Max ETA that radar can actually see at 85th-%ile speed:</t>
  </si>
  <si>
    <t>Table 2b: Min/Max ETA for Advance Extended Range</t>
  </si>
  <si>
    <t>Passage Time is called Vehicle Extension in Econolite controllers.  Determine using Table 1.</t>
  </si>
  <si>
    <r>
      <t xml:space="preserve">Queue-Clearance Zone in Advance with Max Speed Filter = </t>
    </r>
    <r>
      <rPr>
        <b/>
        <u/>
        <sz val="10"/>
        <color theme="1"/>
        <rFont val="Century Gothic"/>
        <family val="2"/>
      </rPr>
      <t>35mph</t>
    </r>
  </si>
  <si>
    <r>
      <t>1) Vehicle length = 20ft</t>
    </r>
    <r>
      <rPr>
        <i/>
        <sz val="10"/>
        <color theme="1"/>
        <rFont val="Calibri"/>
        <family val="2"/>
        <scheme val="minor"/>
      </rPr>
      <t xml:space="preserve"> </t>
    </r>
    <r>
      <rPr>
        <i/>
        <sz val="9"/>
        <color theme="1"/>
        <rFont val="Calibri"/>
        <family val="2"/>
        <scheme val="minor"/>
      </rPr>
      <t>(used only for stop-bar presence detection)</t>
    </r>
  </si>
  <si>
    <t>1) 85th-Percentile Speed = Posted Speed Limit + 7mph</t>
  </si>
  <si>
    <t>2) 15th-Percentile Speed = 85th-Percentile Speed - 21mph</t>
  </si>
  <si>
    <t>3) Radar is located approximately at stop-bar and has 600 feet of range</t>
  </si>
  <si>
    <t>3) Radar is located approximately at stop-bar and has 900 feet of range</t>
  </si>
  <si>
    <t>Printable Tables - Instructions</t>
  </si>
  <si>
    <t>Instructions for Using Tables to Look Up Values</t>
  </si>
  <si>
    <t>General Note:</t>
  </si>
  <si>
    <r>
      <t xml:space="preserve">Determine the </t>
    </r>
    <r>
      <rPr>
        <b/>
        <sz val="10"/>
        <color theme="1"/>
        <rFont val="Calibri"/>
        <family val="2"/>
        <scheme val="minor"/>
      </rPr>
      <t>phase passage/vehicle extension time</t>
    </r>
    <r>
      <rPr>
        <sz val="10"/>
        <color theme="1"/>
        <rFont val="Calibri"/>
        <family val="2"/>
        <scheme val="minor"/>
      </rPr>
      <t xml:space="preserve"> based on the detector length and posted speed limit in </t>
    </r>
    <r>
      <rPr>
        <b/>
        <sz val="10"/>
        <color theme="1"/>
        <rFont val="Calibri"/>
        <family val="2"/>
        <scheme val="minor"/>
      </rPr>
      <t>Table 1</t>
    </r>
    <r>
      <rPr>
        <sz val="10"/>
        <color theme="1"/>
        <rFont val="Calibri"/>
        <family val="2"/>
        <scheme val="minor"/>
      </rPr>
      <t>.</t>
    </r>
  </si>
  <si>
    <t>Min ETA, s</t>
  </si>
  <si>
    <t>Max ETA, s</t>
  </si>
  <si>
    <t>Min ETA, s
for Cars &amp; Trucks</t>
  </si>
  <si>
    <t>Max ETA, s
for Cars</t>
  </si>
  <si>
    <t>Max ETA, s
for Trucks</t>
  </si>
  <si>
    <t>Speed, mph</t>
  </si>
  <si>
    <t>Posted</t>
  </si>
  <si>
    <t>85th-%ile</t>
  </si>
  <si>
    <t>Use Table 2a with "Legacy" Advance.</t>
  </si>
  <si>
    <t>Notes</t>
  </si>
  <si>
    <t>Length of Advance Queue Clearance Zone:</t>
  </si>
  <si>
    <r>
      <t xml:space="preserve">Check the list of assumptions on each table.  If any do not apply at your location, </t>
    </r>
    <r>
      <rPr>
        <b/>
        <sz val="10"/>
        <color theme="1"/>
        <rFont val="Calibri"/>
        <family val="2"/>
        <scheme val="minor"/>
      </rPr>
      <t xml:space="preserve">DO NOT USE </t>
    </r>
    <r>
      <rPr>
        <sz val="10"/>
        <color theme="1"/>
        <rFont val="Calibri"/>
        <family val="2"/>
        <scheme val="minor"/>
      </rPr>
      <t>these tables; use the interactive form instead.  You can fill out a blank form and leave in the cabinet to document any non-standard assumptions.</t>
    </r>
  </si>
  <si>
    <t>UDOT Detection Form</t>
  </si>
  <si>
    <t>Average Speed of Left Turns:</t>
  </si>
  <si>
    <t>Typically 20.  May be adjusted for unusual geometry (skewed intersections, SPUIs, etc)</t>
  </si>
  <si>
    <t>Average Thru Speed = 85th-Percentile Speed *:</t>
  </si>
  <si>
    <t>85th-Percentile Thru Speed = Posted Speed +:</t>
  </si>
  <si>
    <t>Phase:</t>
  </si>
  <si>
    <t>Length of LT Queue Zone:</t>
  </si>
  <si>
    <t>Average Approach Speed, Left Turn Movement:</t>
  </si>
  <si>
    <t>Length of Thru Lane Stop-Bar Detection:</t>
  </si>
  <si>
    <t>Length of Left Turn Lane Stop-Bar Detection:</t>
  </si>
  <si>
    <t>Wavetronix Advance Type:</t>
  </si>
  <si>
    <t>Left Turn Type:</t>
  </si>
  <si>
    <t>Vehicle Extension/Phase Passage Time:</t>
  </si>
  <si>
    <t>Representative Car Length:</t>
  </si>
  <si>
    <t>Maximum Allowable Headway (MAH):</t>
  </si>
  <si>
    <t>Used for P/P left turn types (5-section and FYA)</t>
  </si>
  <si>
    <t>Left Turn Stop-Bar Detection Extends LT Phase:</t>
  </si>
  <si>
    <t>Ideal Length of Permissive LT Zone Extending Thru Phase:</t>
  </si>
  <si>
    <t>Detection longer than this results in effective MAH being greater than specified below; shorter detection results in effective MAH being less than specified below.</t>
  </si>
  <si>
    <t>Effective MAH for permissive left turns extending thru Ø:</t>
  </si>
  <si>
    <t>Max ETA Advance can actually see at 85th-%ile Speed:</t>
  </si>
  <si>
    <t>Extended Range Level 1 (Trucks)/Legacy Min ETA:</t>
  </si>
  <si>
    <t>Extended Range Level 1 (Trucks)/Legacy Max ETA:</t>
  </si>
  <si>
    <t>Extended Range Level 2 (Cars) Min ETA:</t>
  </si>
  <si>
    <t>Extended Range Level 2 (Cars) Max ETA:</t>
  </si>
  <si>
    <t>If any cells at left have red text, Advance is not providing sufficient coverage for entire dilemma zone.</t>
  </si>
  <si>
    <r>
      <t xml:space="preserve">Rounded to nearest 0.1s.  </t>
    </r>
    <r>
      <rPr>
        <b/>
        <sz val="11"/>
        <color theme="1"/>
        <rFont val="Calibri"/>
        <family val="2"/>
        <scheme val="minor"/>
      </rPr>
      <t xml:space="preserve">Program this value into the controller. </t>
    </r>
    <r>
      <rPr>
        <sz val="11"/>
        <color theme="1"/>
        <rFont val="Calibri"/>
        <family val="2"/>
        <scheme val="minor"/>
      </rPr>
      <t xml:space="preserve"> This is also the "Passage Time" to be used for Type P detectors.  If less than 0, consider shorter zones.</t>
    </r>
  </si>
  <si>
    <t>These settings should not be used on approaches with Advance Warning Systems; use AWS form instead</t>
  </si>
  <si>
    <r>
      <t>Assumptions -</t>
    </r>
    <r>
      <rPr>
        <sz val="10"/>
        <color theme="0"/>
        <rFont val="Century Gothic"/>
        <family val="2"/>
      </rPr>
      <t xml:space="preserve"> may be changed based on engineering judgment</t>
    </r>
  </si>
  <si>
    <t>Yellow Cells are for USER DATA ENTRY</t>
  </si>
  <si>
    <t>Lighter Yellow Cells are for OPTIONAL USER DATA ENTRY</t>
  </si>
  <si>
    <t>White Cells are for USER INFORMATION ONLY</t>
  </si>
  <si>
    <t>White Cells with Red Text Indicate Insufficient Radar Coverage for DZ Protection</t>
  </si>
  <si>
    <t>Pale Green Cells are for ASSUMPTIONS</t>
  </si>
  <si>
    <t>Bright Green Cells with Red Text Indicate Non-Default Values</t>
  </si>
  <si>
    <t>- Set detector "passage" time equal to phase vehicle extension time</t>
  </si>
  <si>
    <t>Color Code</t>
  </si>
  <si>
    <t>User Inputs:</t>
  </si>
  <si>
    <t>Outputs:</t>
  </si>
  <si>
    <t>Assumptions:</t>
  </si>
  <si>
    <t>Red Cells with Yellow Text Indicate USER ENTRY ERRORS - ALL MUST BE FIXED</t>
  </si>
  <si>
    <t>Left Turn Detection Configured OK:</t>
  </si>
  <si>
    <t>Left Turn Queue Detection Doesn't Extend LT Phase:</t>
  </si>
  <si>
    <t>Left Turn Type OK:</t>
  </si>
  <si>
    <t>Left Turn NONE OK:</t>
  </si>
  <si>
    <t>Left Turn E OK:</t>
  </si>
  <si>
    <t>Left Turn F OK:</t>
  </si>
  <si>
    <t>Left Turn 5 OK:</t>
  </si>
  <si>
    <t>Left Turn P OK:</t>
  </si>
  <si>
    <t>Blank for NONE, "E" for Exclusive/Prot-Only, "F" for FYA, "5" for 5-section, "P" for permissive-only (using thru green ball as display)</t>
  </si>
  <si>
    <t>Typically 20.  May be adjusted if there are a lot of larger vehicles.  Set to 0 if detection is pulse-mode.</t>
  </si>
  <si>
    <t>Location:</t>
  </si>
  <si>
    <t>Signal ID Number:</t>
  </si>
  <si>
    <t>Technician:</t>
  </si>
  <si>
    <t>Date:</t>
  </si>
  <si>
    <t>Assumptions</t>
  </si>
  <si>
    <t>Typical</t>
  </si>
  <si>
    <t>15th-%ile Thru Speed = 85th-%ile Speed -:</t>
  </si>
  <si>
    <t>Left</t>
  </si>
  <si>
    <t>Thru</t>
  </si>
  <si>
    <t>Phase</t>
  </si>
  <si>
    <r>
      <t>Intermediate Calculations</t>
    </r>
    <r>
      <rPr>
        <sz val="10"/>
        <color theme="0" tint="-4.9989318521683403E-2"/>
        <rFont val="Century Gothic"/>
        <family val="2"/>
      </rPr>
      <t xml:space="preserve"> - intermediate steps used internally by the spreadsheet</t>
    </r>
  </si>
  <si>
    <r>
      <t xml:space="preserve">- For Dilemma Zone zones, speed filters are not </t>
    </r>
    <r>
      <rPr>
        <i/>
        <sz val="10"/>
        <color theme="1"/>
        <rFont val="Calibri"/>
        <family val="2"/>
        <scheme val="minor"/>
      </rPr>
      <t>needed</t>
    </r>
    <r>
      <rPr>
        <sz val="10"/>
        <color theme="1"/>
        <rFont val="Calibri"/>
        <family val="2"/>
        <scheme val="minor"/>
      </rPr>
      <t xml:space="preserve"> but may be useful to filter out slower-moving vehicles, such as those preparing to make turns.  A typical speed filter that has been used successfully is
30-100mph.  </t>
    </r>
  </si>
  <si>
    <t>Thru Phases with Stop-Bar Presence Detection</t>
  </si>
  <si>
    <t>2) Average Speed for Thru Movements = 0.88 * (Posted Speed + 7)</t>
  </si>
  <si>
    <t>3) Maximum Allowable Headway for All Movements = 3s</t>
  </si>
  <si>
    <t>Left Turn Phases</t>
  </si>
  <si>
    <r>
      <t xml:space="preserve">This blank form can be printed and left in the cabinet.  </t>
    </r>
    <r>
      <rPr>
        <b/>
        <u/>
        <sz val="8"/>
        <color theme="1"/>
        <rFont val="Century Gothic"/>
        <family val="2"/>
      </rPr>
      <t>NOT NEEDED</t>
    </r>
    <r>
      <rPr>
        <b/>
        <sz val="8"/>
        <color theme="1"/>
        <rFont val="Century Gothic"/>
        <family val="2"/>
      </rPr>
      <t xml:space="preserve"> AT SITES WHERE STANDARD ASSUMPTIONS APPLY.</t>
    </r>
  </si>
  <si>
    <t>Blank for NONE, "L" for Legacy Advance, "X" for Advance Extended Range, "A" for AWS (separate form to be used)</t>
  </si>
  <si>
    <t>Queue Clearance Detection Zone Instructions</t>
  </si>
  <si>
    <t>Dilemma Zone Detection Zone Instructions</t>
  </si>
  <si>
    <t>4) Average Speed for Left Turn Movements = 20mph</t>
  </si>
  <si>
    <t>For posted speeds of 75 and above, Advance Extended Range does not provide sufficient coverage for full Dilemma Zone.</t>
  </si>
  <si>
    <t>Purpose of This Form</t>
  </si>
  <si>
    <t>This form is intended to help technicians properly set the passage time for each signal phase based on the detection type and size, the type of movement, and the prevailing speed.</t>
  </si>
  <si>
    <t>Correct setting of passage time is critical to intersection safety and efficiency.  It is not an arbitrary setting and should not be determined based on rules of thumb or similar methods.  There are two broad goals, depending on the type of movement:</t>
  </si>
  <si>
    <t>Acknowledgements</t>
  </si>
  <si>
    <t>For multi-lane approaches, all zones must be the same length.  With radar and video detection the zones should be redrawn if necessary to make them the same length.  If radar coverage does not permit long zone in one or more lanes, make all zones shorter to match.</t>
  </si>
  <si>
    <t xml:space="preserve">For loops or Sensys pucks treat a sequence of loops/pucks as a single long zone, unless the gap between the loops is excessively large and would allow the phase to gap out as cars pass between loops.  </t>
  </si>
  <si>
    <t>In situations where length of zones in each lane is not essentially equal, where gaps exist because of failed loops/pucks, or other unique situations, consult with the Statewide Signal Engineer.</t>
  </si>
  <si>
    <t>1) For high-speed thru movements, passage time must be set to work properly with dilemma zone detection to reduce instances of signal changing yellow when a vehicle is in the dilemma zone.  A setting that is too low can result in unintended gap-outs, and a setting that is too high can result in inability of the controller to detect a safe gap for terminating the phase.  This can lead to unnecessary max-outs.</t>
  </si>
  <si>
    <t>2) For other movements (low speed thru movements and turning movements) the passage time should allow the controller to extend the green for vehicles that maintain an acceptably small gap behind the preceding vehicle, but should not cause unnecessary extension for randomly arriving traffic.</t>
  </si>
  <si>
    <t>Determine length of all presence zones used for stop-bar detection on thru movements.  If a high-speed approach does not have presence detection (that is to say it has only Wavetronix Advance), leave the stop-bar length blank for that phase.</t>
  </si>
  <si>
    <t>The form should be used at all UDOT locations whether or not any approaches are equipped with Wavetronix Advance.</t>
  </si>
  <si>
    <t>A separate "Advance Warning System" form should also be used at locations so equipped.</t>
  </si>
  <si>
    <t>If there are any thru approaches without stop-bar detection and with only Wavetronix Advance, create a queue clearance zone in the Advance.  It should have the following characteristics:</t>
  </si>
  <si>
    <t>a) Be as close to the stop-bar as possible.</t>
  </si>
  <si>
    <t>c) Have a speed filter of 1 - 35 MPH applied.</t>
  </si>
  <si>
    <t>d) Have no ETA filter.</t>
  </si>
  <si>
    <t>Remove any existing queue clearance zones in Wavetronix Advance on approaches that have working stop-bar detection of any kind.</t>
  </si>
  <si>
    <t>Enter posted speed limit for each thru approach.  In the absence of precise speed data the posted speed limit is used to make assumptions about prevailing speeds on the approach.</t>
  </si>
  <si>
    <t>Some minor approaches do not have posted speed limits.  Many cities have "blanket" speed limits for all minor streets that are specified in city ordinances.  In the absence of any other information the following assumptions are reasonable:</t>
  </si>
  <si>
    <t>a) Minor urban street - 25 MPH</t>
  </si>
  <si>
    <t>b) Major shopping area, mall entrance, etc - 25 MPH</t>
  </si>
  <si>
    <t>c) Private driveways, alleys, etc that are unlikely to see more than 1 vehicle in any cycle - 15 MPH</t>
  </si>
  <si>
    <t>Do not adjust posted speed limits upward to account for the fact that many drivers exceed the speed limit.  This assumption is already present in the calculations.  If a speed limit is posted, enter it exactly.</t>
  </si>
  <si>
    <t>If speed data is available for 15th-percentile, average, and/or 85th-percentile speed, enter it in the appropriate space.  This will override assumptions based on posted speed.  Such data may be available from Traffic &amp; Safety speed studies, Automated Traffic Signal Performance Metrics, etc.  If you do not have precise data, leave these fields blank.</t>
  </si>
  <si>
    <t>a) Leave the field blank if the approach does not have Wavetronix Advance.  This is typical for minor streets.</t>
  </si>
  <si>
    <t>Enter Wavetronix Advance type for each thru approach.  Only four entries are allowed:</t>
  </si>
  <si>
    <t>b) Enter the letter "A" if the approach has an Advance Warning System (AWS), regardless of what type of Wavetronix Advance may be present.</t>
  </si>
  <si>
    <t>c) Enter the letter "L" if the approach has "legacy" Advance with a range of approximately 600 feet.</t>
  </si>
  <si>
    <t>d) Enter the letter "X" if the approach has newer Advance Extended Range with range of approximately 900 feet.</t>
  </si>
  <si>
    <t>e) Enter the letter "P" if there is no dedicated left turn phase and left turns are allowed permissively-only.  For a permissive left on the approach with phase 2, use the column for phase 5; etc based on NEMA standard.</t>
  </si>
  <si>
    <t>For each left turn movement with stop-bar detection, enter the length of the detection zone at the stop-bar.  See guidance under Step 1 for thru lanes; same rules apply here.  Some protected-permitted movements have only a queue zone; in such cases enter 0 in this field.</t>
  </si>
  <si>
    <t>For each left turn movement with queue detection, enter the length of the queue detector (not the distance from the stop-bar).  For P/P left turns it is typical to have a 15-20 foot queue zone set back approximately 50 feet.</t>
  </si>
  <si>
    <t>In some situations the queue detector calls but does not extend the left turn phase.  In this case enter "X" in the appropriate field.  Such situations are rare.</t>
  </si>
  <si>
    <t>General Note:  The form is set up for an 8-phase intersection using standard NEMA phase numbering.  It can be used also for non-standard intersections by using any of the even-numbered phases (2, 4, 6, or 8) for thru movements, and any of the odd-numbered phases (1, 3, 5, 7) for turning movements.  The form is locked to allow changes only in data-entry fields.  If a column has red cells it is an indication that form is not yet filled in properly for that column (phase).</t>
  </si>
  <si>
    <t>a) In Econolite controllers (ASC/3, Cobalt) this parameter is called "Vehicle Extension" and is found in MM-2-1</t>
  </si>
  <si>
    <t>b) In Intelight MaxTime controllers this parameter is called "Passage" and is found in MM-2-2-1, Phase Timing.</t>
  </si>
  <si>
    <t>Transfer the "Vehicle Extension / Phase Passage Time" to the signal controller:</t>
  </si>
  <si>
    <t>The form should now show calculated passage time for all phases that are in use.  If any cells show "###" it indicates that the calculated passage time is less than 0.  If possible shorten the stop-bar or queue clearance zone to obtain a positive value.  Values as low as 0.0 are permissible, but for values below approximately 0.5 it may be best to shorten the detection zones if possible so that any chattering of the detector doesn't cause premature gap-out.</t>
  </si>
  <si>
    <t>a) For each stop-bar detection zone, set the detector to Type P in MM-6-2.</t>
  </si>
  <si>
    <t>b) In MM-6-2 once the detector is changed to Type P, enter the value from the "Vehicle Extension / Phase Passage Time" into the "PASSAGE" field.  Failure to do so will result in stop-bar detection gapping out too soon.</t>
  </si>
  <si>
    <t>In some cases you may need to deviate from a general assumption.  The light green fields near the bottom of the sheet may be changed if needed.  This should be rare.  Some guidelines are shown on each row on the form.  Consult with the Statewide Signal Engineer for any questions.</t>
  </si>
  <si>
    <t>For each approach with Wavetronix Advance, set up the dilemma zones as follows:</t>
  </si>
  <si>
    <t>a) For Legacy Advance, use Type Normal.  For Advance Extended Range, use type Priority.</t>
  </si>
  <si>
    <t>b) Each zone should be as large as possible, cover the entire range of the sensor.</t>
  </si>
  <si>
    <t>c) For Advance Extended Range, set discovery range to a point where trucks are reliably detected but cars are not.  This will vary based on sensor aiming and other factors.</t>
  </si>
  <si>
    <t>d) Use the form outputs to set the ETA thresholds.</t>
  </si>
  <si>
    <t>If you used any non-standard assumptions or had precise speed data, please leave a copy of the form in the signal cabinet and place a copy in the intersection's folder on the network drive.  If all assumptions are standard, leaving a copy of the form is not required.</t>
  </si>
  <si>
    <t>Detailed Instructions</t>
  </si>
  <si>
    <t>UDOT Detection Form - Interactive Form Quick Instructions</t>
  </si>
  <si>
    <t>UDOT Detection Form - Purpose and Instructions</t>
  </si>
  <si>
    <r>
      <t xml:space="preserve">- Queue clearance zone should have </t>
    </r>
    <r>
      <rPr>
        <b/>
        <sz val="10"/>
        <color theme="1"/>
        <rFont val="Calibri"/>
        <family val="2"/>
        <scheme val="minor"/>
      </rPr>
      <t>max speed filter</t>
    </r>
    <r>
      <rPr>
        <sz val="10"/>
        <color theme="1"/>
        <rFont val="Calibri"/>
        <family val="2"/>
        <scheme val="minor"/>
      </rPr>
      <t xml:space="preserve"> set to 35mph, but </t>
    </r>
    <r>
      <rPr>
        <b/>
        <sz val="10"/>
        <color theme="1"/>
        <rFont val="Calibri"/>
        <family val="2"/>
        <scheme val="minor"/>
      </rPr>
      <t>no ETA filter</t>
    </r>
  </si>
  <si>
    <t>Used for all left turn types other than NONE; may be 0 for "P" type if there is no stop-bar detection at all on the approach</t>
  </si>
  <si>
    <t>Place an "X" if left turn queue detection calls the phase but does not extend.  Can be used to shorten effective extension zone by using only the stop-bar detector.</t>
  </si>
  <si>
    <t>Place an "X" if left turn stop-bar detection extends the left turn phase.  Required for LT type "E".  Optional on other LT types to reduce passage time.</t>
  </si>
  <si>
    <t>Effective left turn phase extension zone length:</t>
  </si>
  <si>
    <t>Used for calculating left turn passage time</t>
  </si>
  <si>
    <t>b) Enter the letter "E" if there is a protected-only ("exclusive") left turn phase.</t>
  </si>
  <si>
    <t>c) Enter the letter "F" if there is a Flashing Yellow Arrow left turn phase (including those operated by time-of-day as protected-only movements)</t>
  </si>
  <si>
    <t>d) Enter the number "5" if there is a 5-section "doghouse" type left turn phase.</t>
  </si>
  <si>
    <t>If speed data is available for left turn average speed, enter it in the appropriate field.  At some rare locations you may not have precise data but may need to enter a value here for unusually high-speed left turns, such as at  SPUIs or turns that are much less than 90 degrees.  Otherwise left turn average speed is assumed to be 20 MPH.  This value is recommended in the Signal Timing Manual and field checks in Utah have shown it to be a reasonable assumption.</t>
  </si>
  <si>
    <t>The form is also intended to help technicians properly set up Wavetronix Advance for dilemma zone protection.  It is not designed for other types of dilemma zone detection, but should work with all types of presence detection used for stop-bar and left turn queue detection.</t>
  </si>
  <si>
    <t>For each left turn approach, enter the left turn type.  Only five entries are allowed:</t>
  </si>
  <si>
    <t xml:space="preserve">a) Leave the field blank if there is no left turn movement possible or allowed.  </t>
  </si>
  <si>
    <r>
      <t xml:space="preserve">The formulas in this form are based on several sources, including the </t>
    </r>
    <r>
      <rPr>
        <i/>
        <sz val="11"/>
        <rFont val="Calibri"/>
        <family val="2"/>
        <scheme val="minor"/>
      </rPr>
      <t>Signal Timing Manual.</t>
    </r>
    <r>
      <rPr>
        <sz val="11"/>
        <rFont val="Calibri"/>
        <family val="2"/>
        <scheme val="minor"/>
      </rPr>
      <t xml:space="preserve">  Special acknowledgement is due to Carroll J. Messer, Professor Emeritus, Texas A&amp;M University, for his research on dilemma zone protection for cars and trucks.</t>
    </r>
  </si>
  <si>
    <t>Form Revision: 4/9/2019 by MDL</t>
  </si>
  <si>
    <t>Extended Range Level 1 (Trucks) Min ETA:</t>
  </si>
  <si>
    <t>Extended Range Level 2 (Cars)/Legacy Min ETA:</t>
  </si>
  <si>
    <t>Extended Range Level 1 (Trucks) Max ETA:</t>
  </si>
  <si>
    <t>Extended Range Level 2 (Cars)/Legacy Max ETA:</t>
  </si>
  <si>
    <r>
      <t xml:space="preserve">Rounded to nearest 0.1s and accounting for Passage Time.  </t>
    </r>
    <r>
      <rPr>
        <b/>
        <sz val="11"/>
        <color theme="1"/>
        <rFont val="Calibri"/>
        <family val="2"/>
        <scheme val="minor"/>
      </rPr>
      <t xml:space="preserve">Program into Wavetronix. </t>
    </r>
    <r>
      <rPr>
        <sz val="11"/>
        <color theme="1"/>
        <rFont val="Calibri"/>
        <family val="2"/>
        <scheme val="minor"/>
      </rPr>
      <t xml:space="preserve"> Used only with Extended Range.</t>
    </r>
  </si>
  <si>
    <r>
      <t xml:space="preserve">Rounded to nearest 0.1s.  </t>
    </r>
    <r>
      <rPr>
        <b/>
        <sz val="11"/>
        <color theme="1"/>
        <rFont val="Calibri"/>
        <family val="2"/>
        <scheme val="minor"/>
      </rPr>
      <t xml:space="preserve">Program into Wavetronix. </t>
    </r>
    <r>
      <rPr>
        <sz val="11"/>
        <color theme="1"/>
        <rFont val="Calibri"/>
        <family val="2"/>
        <scheme val="minor"/>
      </rPr>
      <t xml:space="preserve"> Used only with Extended Range.</t>
    </r>
  </si>
  <si>
    <r>
      <t xml:space="preserve">Rounded to nearest 0.1s.  </t>
    </r>
    <r>
      <rPr>
        <b/>
        <sz val="11"/>
        <color theme="1"/>
        <rFont val="Calibri"/>
        <family val="2"/>
        <scheme val="minor"/>
      </rPr>
      <t>Program into Wavetronix.</t>
    </r>
    <r>
      <rPr>
        <sz val="11"/>
        <color theme="1"/>
        <rFont val="Calibri"/>
        <family val="2"/>
        <scheme val="minor"/>
      </rPr>
      <t xml:space="preserve"> </t>
    </r>
  </si>
  <si>
    <t>b) Be approximately 60 - 70 feet long.  Note the actual length and enter it in the form.  65' is typical.</t>
  </si>
  <si>
    <t>Whenever the stop-bar detection extends the left turn phase, enter "X" in the appropriate field.  This is ALWAYS required for protected-only (type "E") left turn phases.  It is not common for type "5" and type "F" phases to be set up this way, but it is possible (one particular case to be aware of is at Flashing Yellow Arrows that are sometimes operated in protected-only mode).</t>
  </si>
  <si>
    <t>On high-speed thru approaches with Wavetronix Advance, all stop-bar detectors should be set to "Type P - Passage Type Queue/Stop Bar."  Intelight controllers up through firmware version 1.9.16 do not yet natively support this function; it can be done by user program but that process is not described here.  The instructions below are for Econolite controllers:</t>
  </si>
  <si>
    <t>e) Speed filters are not required, but may be useful especially if a lot of the approaching traffic turns right or left.  A typical speed filter is 30-100 MPH.  If heavy queuing sometimes occurs on the approach when running free, it is best to leave the speed filter disabled.</t>
  </si>
  <si>
    <r>
      <t xml:space="preserve">- Include a queue clearance zone in the Advance detector; make it </t>
    </r>
    <r>
      <rPr>
        <b/>
        <sz val="10"/>
        <color theme="1"/>
        <rFont val="Calibri"/>
        <family val="2"/>
        <scheme val="minor"/>
      </rPr>
      <t xml:space="preserve">as close to the stop-bar as possible </t>
    </r>
    <r>
      <rPr>
        <sz val="10"/>
        <color theme="1"/>
        <rFont val="Calibri"/>
        <family val="2"/>
        <scheme val="minor"/>
      </rPr>
      <t>while still reliably detecting vehicles.  Length should be approximately 65 feet.</t>
    </r>
  </si>
  <si>
    <t>The only editable field on this sheet is a section for notes, at the bottom.  Scroll down to see it.</t>
  </si>
  <si>
    <t>For posted speeds of 65 and above, Legacy Advance does not provide sufficient coverage for full Dilemma Zone.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</si>
</sst>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45" x14ac:knownFonts="1">
    <font>
      <sz val="11"/>
      <color theme="1"/>
      <name val="Calibri"/>
      <family val="2"/>
      <scheme val="minor"/>
    </font>
    <font>
      <sz val="9"/>
      <color indexed="81"/>
      <name val="Tahoma"/>
      <family val="2"/>
    </font>
    <font>
      <i/>
      <sz val="9"/>
      <color indexed="81"/>
      <name val="Tahoma"/>
      <family val="2"/>
    </font>
    <font>
      <sz val="11"/>
      <color theme="1"/>
      <name val="Times New Roman"/>
      <family val="1"/>
    </font>
    <font>
      <b/>
      <sz val="11"/>
      <color theme="1"/>
      <name val="Calibri"/>
      <family val="2"/>
      <scheme val="minor"/>
    </font>
    <font>
      <i/>
      <sz val="11"/>
      <color theme="1"/>
      <name val="Calibri"/>
      <family val="2"/>
      <scheme val="minor"/>
    </font>
    <font>
      <sz val="11"/>
      <name val="Calibri"/>
      <family val="2"/>
      <scheme val="minor"/>
    </font>
    <font>
      <i/>
      <sz val="10"/>
      <color theme="1"/>
      <name val="Calibri"/>
      <family val="2"/>
      <scheme val="minor"/>
    </font>
    <font>
      <i/>
      <sz val="9"/>
      <color theme="1"/>
      <name val="Calibri"/>
      <family val="2"/>
      <scheme val="minor"/>
    </font>
    <font>
      <b/>
      <sz val="26"/>
      <color theme="0"/>
      <name val="Century Gothic"/>
      <family val="2"/>
    </font>
    <font>
      <sz val="11"/>
      <color rgb="FFFF0000"/>
      <name val="Calibri"/>
      <family val="2"/>
      <scheme val="minor"/>
    </font>
    <font>
      <b/>
      <sz val="11"/>
      <color theme="1"/>
      <name val="Century Gothic"/>
      <family val="2"/>
    </font>
    <font>
      <sz val="9"/>
      <color theme="1"/>
      <name val="Century Gothic"/>
      <family val="2"/>
    </font>
    <font>
      <b/>
      <sz val="9"/>
      <color theme="1"/>
      <name val="Century Gothic"/>
      <family val="2"/>
    </font>
    <font>
      <b/>
      <sz val="11"/>
      <color theme="0"/>
      <name val="Century Gothic"/>
      <family val="2"/>
    </font>
    <font>
      <sz val="8"/>
      <color theme="1"/>
      <name val="Century Gothic"/>
      <family val="2"/>
    </font>
    <font>
      <sz val="10"/>
      <color theme="1"/>
      <name val="Calibri"/>
      <family val="2"/>
      <scheme val="minor"/>
    </font>
    <font>
      <b/>
      <sz val="10"/>
      <color theme="1"/>
      <name val="Calibri"/>
      <family val="2"/>
      <scheme val="minor"/>
    </font>
    <font>
      <b/>
      <sz val="10"/>
      <color theme="1"/>
      <name val="Century Gothic"/>
      <family val="2"/>
    </font>
    <font>
      <sz val="10"/>
      <color theme="0"/>
      <name val="Century Gothic"/>
      <family val="2"/>
    </font>
    <font>
      <b/>
      <u/>
      <sz val="10"/>
      <color theme="1"/>
      <name val="Century Gothic"/>
      <family val="2"/>
    </font>
    <font>
      <b/>
      <sz val="11"/>
      <name val="Century Gothic"/>
      <family val="2"/>
    </font>
    <font>
      <b/>
      <u/>
      <sz val="11"/>
      <name val="Century Gothic"/>
      <family val="2"/>
    </font>
    <font>
      <b/>
      <sz val="10"/>
      <color theme="0"/>
      <name val="Century Gothic"/>
      <family val="2"/>
    </font>
    <font>
      <b/>
      <sz val="8"/>
      <color theme="1"/>
      <name val="Century Gothic"/>
      <family val="2"/>
    </font>
    <font>
      <b/>
      <u/>
      <sz val="8"/>
      <color theme="1"/>
      <name val="Century Gothic"/>
      <family val="2"/>
    </font>
    <font>
      <b/>
      <u/>
      <sz val="10"/>
      <color theme="0"/>
      <name val="Century Gothic"/>
      <family val="2"/>
    </font>
    <font>
      <sz val="10"/>
      <color theme="1"/>
      <name val="Century Gothic"/>
      <family val="2"/>
    </font>
    <font>
      <b/>
      <sz val="10"/>
      <color theme="0" tint="-4.9989318521683403E-2"/>
      <name val="Century Gothic"/>
      <family val="2"/>
    </font>
    <font>
      <b/>
      <sz val="18"/>
      <color theme="0"/>
      <name val="Century Gothic"/>
      <family val="2"/>
    </font>
    <font>
      <b/>
      <sz val="11"/>
      <color rgb="FFFFFF00"/>
      <name val="Century Gothic"/>
      <family val="2"/>
    </font>
    <font>
      <sz val="10"/>
      <name val="Century Gothic"/>
      <family val="2"/>
    </font>
    <font>
      <b/>
      <sz val="11"/>
      <color rgb="FFFF0000"/>
      <name val="Century Gothic"/>
      <family val="2"/>
    </font>
    <font>
      <sz val="11"/>
      <color theme="0"/>
      <name val="Calibri"/>
      <family val="2"/>
      <scheme val="minor"/>
    </font>
    <font>
      <sz val="10"/>
      <color theme="0" tint="-4.9989318521683403E-2"/>
      <name val="Century Gothic"/>
      <family val="2"/>
    </font>
    <font>
      <b/>
      <sz val="9"/>
      <name val="Century Gothic"/>
      <family val="2"/>
    </font>
    <font>
      <b/>
      <sz val="8"/>
      <name val="Century Gothic"/>
      <family val="2"/>
    </font>
    <font>
      <b/>
      <u/>
      <sz val="8"/>
      <color theme="0"/>
      <name val="Century Gothic"/>
      <family val="2"/>
    </font>
    <font>
      <sz val="8"/>
      <name val="Century Gothic"/>
      <family val="2"/>
    </font>
    <font>
      <b/>
      <sz val="12"/>
      <color theme="0"/>
      <name val="Century Gothic"/>
      <family val="2"/>
    </font>
    <font>
      <i/>
      <sz val="11"/>
      <name val="Calibri"/>
      <family val="2"/>
      <scheme val="minor"/>
    </font>
    <font>
      <b/>
      <sz val="9"/>
      <color indexed="81"/>
      <name val="Tahoma"/>
      <family val="2"/>
    </font>
    <font>
      <b/>
      <u/>
      <sz val="10"/>
      <color theme="9" tint="-0.249977111117893"/>
      <name val="Century Gothic"/>
      <family val="2"/>
    </font>
    <font>
      <b/>
      <u/>
      <sz val="10"/>
      <color rgb="FF0070C0"/>
      <name val="Century Gothic"/>
      <family val="2"/>
    </font>
    <font>
      <sz val="11"/>
      <color rgb="FFFF0000"/>
      <name val="Times New Roman"/>
      <family val="1"/>
    </font>
  </fonts>
  <fills count="13">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FFCC"/>
        <bgColor indexed="64"/>
      </patternFill>
    </fill>
    <fill>
      <patternFill patternType="solid">
        <fgColor rgb="FF00FFFF"/>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FF00"/>
        <bgColor indexed="64"/>
      </patternFill>
    </fill>
    <fill>
      <patternFill patternType="solid">
        <fgColor rgb="FFFF0000"/>
        <bgColor indexed="64"/>
      </patternFill>
    </fill>
    <fill>
      <patternFill patternType="solid">
        <fgColor theme="0" tint="-0.49998474074526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indexed="64"/>
      </right>
      <top style="thin">
        <color indexed="64"/>
      </top>
      <bottom style="hair">
        <color theme="0" tint="-0.499984740745262"/>
      </bottom>
      <diagonal/>
    </border>
    <border>
      <left style="hair">
        <color theme="0" tint="-0.499984740745262"/>
      </left>
      <right style="thin">
        <color indexed="64"/>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diagonal/>
    </border>
    <border>
      <left style="hair">
        <color theme="0" tint="-0.499984740745262"/>
      </left>
      <right style="thin">
        <color indexed="64"/>
      </right>
      <top style="hair">
        <color theme="0" tint="-0.499984740745262"/>
      </top>
      <bottom/>
      <diagonal/>
    </border>
    <border>
      <left style="thin">
        <color auto="1"/>
      </left>
      <right/>
      <top style="thin">
        <color auto="1"/>
      </top>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style="thin">
        <color indexed="64"/>
      </top>
      <bottom style="hair">
        <color theme="0" tint="-0.499984740745262"/>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double">
        <color indexed="64"/>
      </right>
      <top/>
      <bottom style="thin">
        <color indexed="64"/>
      </bottom>
      <diagonal/>
    </border>
    <border>
      <left/>
      <right style="hair">
        <color theme="0" tint="-0.499984740745262"/>
      </right>
      <top style="hair">
        <color theme="0" tint="-0.499984740745262"/>
      </top>
      <bottom style="hair">
        <color theme="0" tint="-0.499984740745262"/>
      </bottom>
      <diagonal/>
    </border>
    <border>
      <left/>
      <right style="hair">
        <color theme="0" tint="-0.499984740745262"/>
      </right>
      <top style="hair">
        <color theme="0" tint="-0.499984740745262"/>
      </top>
      <bottom/>
      <diagonal/>
    </border>
    <border>
      <left style="double">
        <color indexed="64"/>
      </left>
      <right style="thin">
        <color indexed="64"/>
      </right>
      <top style="hair">
        <color theme="0" tint="-0.499984740745262"/>
      </top>
      <bottom style="hair">
        <color theme="0" tint="-0.499984740745262"/>
      </bottom>
      <diagonal/>
    </border>
    <border>
      <left style="double">
        <color indexed="64"/>
      </left>
      <right style="hair">
        <color theme="0" tint="-0.499984740745262"/>
      </right>
      <top style="hair">
        <color theme="0" tint="-0.499984740745262"/>
      </top>
      <bottom style="hair">
        <color theme="0" tint="-0.499984740745262"/>
      </bottom>
      <diagonal/>
    </border>
    <border>
      <left style="double">
        <color indexed="64"/>
      </left>
      <right style="double">
        <color indexed="64"/>
      </right>
      <top style="thin">
        <color indexed="64"/>
      </top>
      <bottom style="thin">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bottom style="double">
        <color indexed="64"/>
      </bottom>
      <diagonal/>
    </border>
    <border>
      <left style="double">
        <color indexed="64"/>
      </left>
      <right style="double">
        <color indexed="64"/>
      </right>
      <top style="thin">
        <color indexed="64"/>
      </top>
      <bottom/>
      <diagonal/>
    </border>
    <border>
      <left style="double">
        <color indexed="64"/>
      </left>
      <right/>
      <top/>
      <bottom style="thin">
        <color indexed="64"/>
      </bottom>
      <diagonal/>
    </border>
    <border>
      <left/>
      <right style="double">
        <color indexed="64"/>
      </right>
      <top/>
      <bottom style="thin">
        <color indexed="64"/>
      </bottom>
      <diagonal/>
    </border>
    <border>
      <left style="double">
        <color indexed="64"/>
      </left>
      <right style="double">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uble">
        <color theme="0"/>
      </left>
      <right/>
      <top/>
      <bottom/>
      <diagonal/>
    </border>
    <border>
      <left/>
      <right style="double">
        <color theme="0"/>
      </right>
      <top/>
      <bottom/>
      <diagonal/>
    </border>
    <border>
      <left style="double">
        <color theme="0"/>
      </left>
      <right/>
      <top/>
      <bottom style="thin">
        <color indexed="64"/>
      </bottom>
      <diagonal/>
    </border>
    <border>
      <left/>
      <right style="double">
        <color theme="0"/>
      </right>
      <top/>
      <bottom style="thin">
        <color indexed="64"/>
      </bottom>
      <diagonal/>
    </border>
    <border>
      <left style="double">
        <color indexed="64"/>
      </left>
      <right/>
      <top/>
      <bottom/>
      <diagonal/>
    </border>
    <border>
      <left style="double">
        <color indexed="64"/>
      </left>
      <right style="double">
        <color indexed="64"/>
      </right>
      <top/>
      <bottom/>
      <diagonal/>
    </border>
    <border>
      <left style="double">
        <color indexed="64"/>
      </left>
      <right style="double">
        <color indexed="64"/>
      </right>
      <top style="hair">
        <color theme="0" tint="-0.499984740745262"/>
      </top>
      <bottom style="hair">
        <color theme="0" tint="-0.499984740745262"/>
      </bottom>
      <diagonal/>
    </border>
    <border>
      <left style="double">
        <color indexed="64"/>
      </left>
      <right style="double">
        <color indexed="64"/>
      </right>
      <top style="hair">
        <color theme="0" tint="-0.499984740745262"/>
      </top>
      <bottom/>
      <diagonal/>
    </border>
    <border>
      <left/>
      <right style="double">
        <color indexed="64"/>
      </right>
      <top/>
      <bottom/>
      <diagonal/>
    </border>
    <border>
      <left/>
      <right style="thin">
        <color indexed="64"/>
      </right>
      <top style="hair">
        <color theme="0" tint="-0.499984740745262"/>
      </top>
      <bottom style="hair">
        <color theme="0" tint="-0.499984740745262"/>
      </bottom>
      <diagonal/>
    </border>
    <border>
      <left/>
      <right style="thin">
        <color indexed="64"/>
      </right>
      <top style="hair">
        <color theme="0" tint="-0.499984740745262"/>
      </top>
      <bottom/>
      <diagonal/>
    </border>
    <border>
      <left style="double">
        <color indexed="64"/>
      </left>
      <right style="double">
        <color indexed="64"/>
      </right>
      <top style="hair">
        <color indexed="64"/>
      </top>
      <bottom style="hair">
        <color indexed="64"/>
      </bottom>
      <diagonal/>
    </border>
    <border>
      <left style="double">
        <color indexed="64"/>
      </left>
      <right style="double">
        <color indexed="64"/>
      </right>
      <top style="thin">
        <color indexed="64"/>
      </top>
      <bottom style="hair">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s>
  <cellStyleXfs count="1">
    <xf numFmtId="0" fontId="0" fillId="0" borderId="0"/>
  </cellStyleXfs>
  <cellXfs count="371">
    <xf numFmtId="0" fontId="0" fillId="0" borderId="0" xfId="0"/>
    <xf numFmtId="164" fontId="0" fillId="0" borderId="1" xfId="0" applyNumberFormat="1" applyBorder="1" applyAlignment="1">
      <alignment horizontal="center"/>
    </xf>
    <xf numFmtId="0" fontId="0" fillId="0" borderId="12" xfId="0" applyBorder="1"/>
    <xf numFmtId="164" fontId="0" fillId="8" borderId="14" xfId="0" applyNumberFormat="1" applyFill="1" applyBorder="1" applyAlignment="1">
      <alignment horizontal="center"/>
    </xf>
    <xf numFmtId="164" fontId="0" fillId="8" borderId="15" xfId="0" applyNumberFormat="1" applyFill="1" applyBorder="1" applyAlignment="1">
      <alignment horizontal="center"/>
    </xf>
    <xf numFmtId="164" fontId="0" fillId="8" borderId="16" xfId="0" applyNumberFormat="1" applyFill="1" applyBorder="1" applyAlignment="1">
      <alignment horizontal="center"/>
    </xf>
    <xf numFmtId="164" fontId="0" fillId="8" borderId="17" xfId="0" applyNumberFormat="1" applyFill="1" applyBorder="1" applyAlignment="1">
      <alignment horizontal="center"/>
    </xf>
    <xf numFmtId="164" fontId="0" fillId="8" borderId="18" xfId="0" applyNumberFormat="1" applyFill="1" applyBorder="1" applyAlignment="1">
      <alignment horizontal="center"/>
    </xf>
    <xf numFmtId="164" fontId="0" fillId="8" borderId="22" xfId="0" applyNumberFormat="1" applyFill="1" applyBorder="1" applyAlignment="1">
      <alignment horizontal="center"/>
    </xf>
    <xf numFmtId="164" fontId="0" fillId="0" borderId="23" xfId="0" applyNumberFormat="1" applyBorder="1" applyAlignment="1">
      <alignment horizontal="center"/>
    </xf>
    <xf numFmtId="164" fontId="0" fillId="0" borderId="20" xfId="0" applyNumberFormat="1" applyBorder="1" applyAlignment="1">
      <alignment horizontal="center"/>
    </xf>
    <xf numFmtId="164" fontId="0" fillId="8" borderId="28" xfId="0" applyNumberFormat="1" applyFill="1" applyBorder="1" applyAlignment="1">
      <alignment horizontal="center"/>
    </xf>
    <xf numFmtId="164" fontId="0" fillId="8" borderId="29" xfId="0" applyNumberFormat="1" applyFill="1" applyBorder="1" applyAlignment="1">
      <alignment horizontal="center"/>
    </xf>
    <xf numFmtId="164" fontId="0" fillId="8" borderId="30" xfId="0" applyNumberFormat="1" applyFill="1" applyBorder="1" applyAlignment="1">
      <alignment horizontal="center"/>
    </xf>
    <xf numFmtId="164" fontId="0" fillId="8" borderId="31" xfId="0" applyNumberFormat="1" applyFill="1" applyBorder="1" applyAlignment="1">
      <alignment horizontal="center"/>
    </xf>
    <xf numFmtId="0" fontId="0" fillId="0" borderId="0" xfId="0"/>
    <xf numFmtId="0" fontId="0" fillId="0" borderId="0" xfId="0" applyAlignment="1">
      <alignment horizontal="left"/>
    </xf>
    <xf numFmtId="0" fontId="13" fillId="6" borderId="1" xfId="0" applyFont="1" applyFill="1" applyBorder="1" applyAlignment="1" applyProtection="1">
      <alignment horizontal="center"/>
      <protection locked="0"/>
    </xf>
    <xf numFmtId="0" fontId="16" fillId="0" borderId="0" xfId="0" applyFont="1"/>
    <xf numFmtId="0" fontId="20" fillId="7" borderId="24" xfId="0" applyFont="1" applyFill="1" applyBorder="1" applyAlignment="1">
      <alignment horizontal="center" vertical="center"/>
    </xf>
    <xf numFmtId="0" fontId="20" fillId="7" borderId="4" xfId="0" applyFont="1" applyFill="1" applyBorder="1" applyAlignment="1">
      <alignment horizontal="center" vertical="center"/>
    </xf>
    <xf numFmtId="0" fontId="18" fillId="0" borderId="0" xfId="0" applyFont="1"/>
    <xf numFmtId="0" fontId="20" fillId="7" borderId="9" xfId="0" applyFont="1" applyFill="1" applyBorder="1" applyAlignment="1">
      <alignment horizontal="center" vertical="center"/>
    </xf>
    <xf numFmtId="0" fontId="18" fillId="7" borderId="11" xfId="0" applyFont="1" applyFill="1" applyBorder="1" applyAlignment="1">
      <alignment horizontal="center"/>
    </xf>
    <xf numFmtId="0" fontId="18" fillId="7" borderId="23" xfId="0" applyFont="1" applyFill="1" applyBorder="1" applyAlignment="1">
      <alignment horizontal="center"/>
    </xf>
    <xf numFmtId="0" fontId="18" fillId="7" borderId="1" xfId="0" applyFont="1" applyFill="1" applyBorder="1" applyAlignment="1">
      <alignment horizontal="center"/>
    </xf>
    <xf numFmtId="164" fontId="0" fillId="0" borderId="25" xfId="0" applyNumberFormat="1" applyBorder="1" applyAlignment="1"/>
    <xf numFmtId="164" fontId="0" fillId="0" borderId="26" xfId="0" quotePrefix="1" applyNumberFormat="1" applyBorder="1" applyAlignment="1"/>
    <xf numFmtId="0" fontId="0" fillId="0" borderId="13" xfId="0" applyBorder="1" applyAlignment="1">
      <alignment horizontal="center"/>
    </xf>
    <xf numFmtId="0" fontId="0" fillId="8" borderId="13" xfId="0" applyFill="1" applyBorder="1" applyAlignment="1">
      <alignment horizontal="center"/>
    </xf>
    <xf numFmtId="164" fontId="0" fillId="0" borderId="32" xfId="0" applyNumberFormat="1" applyBorder="1" applyAlignment="1">
      <alignment horizontal="center"/>
    </xf>
    <xf numFmtId="0" fontId="0" fillId="8" borderId="7" xfId="0" applyFill="1" applyBorder="1" applyAlignment="1">
      <alignment horizontal="center"/>
    </xf>
    <xf numFmtId="0" fontId="0" fillId="0" borderId="20" xfId="0" applyBorder="1" applyAlignment="1">
      <alignment horizontal="center"/>
    </xf>
    <xf numFmtId="164" fontId="0" fillId="0" borderId="38" xfId="0" applyNumberFormat="1" applyBorder="1" applyAlignment="1">
      <alignment horizontal="center"/>
    </xf>
    <xf numFmtId="164" fontId="0" fillId="8" borderId="38" xfId="0" applyNumberFormat="1" applyFill="1" applyBorder="1" applyAlignment="1">
      <alignment horizontal="center"/>
    </xf>
    <xf numFmtId="164" fontId="0" fillId="0" borderId="13" xfId="0" applyNumberFormat="1" applyBorder="1" applyAlignment="1"/>
    <xf numFmtId="0" fontId="20" fillId="7" borderId="4" xfId="0" applyFont="1" applyFill="1" applyBorder="1" applyAlignment="1">
      <alignment horizontal="center" wrapText="1"/>
    </xf>
    <xf numFmtId="0" fontId="0" fillId="0" borderId="0" xfId="0" applyProtection="1"/>
    <xf numFmtId="0" fontId="3" fillId="0" borderId="0" xfId="0" applyFont="1" applyAlignment="1" applyProtection="1"/>
    <xf numFmtId="0" fontId="3" fillId="0" borderId="0" xfId="0" quotePrefix="1" applyFont="1" applyAlignment="1" applyProtection="1"/>
    <xf numFmtId="0" fontId="16" fillId="0" borderId="8" xfId="0" applyFont="1" applyBorder="1" applyProtection="1"/>
    <xf numFmtId="0" fontId="16" fillId="0" borderId="2" xfId="0" quotePrefix="1" applyFont="1" applyBorder="1" applyAlignment="1" applyProtection="1"/>
    <xf numFmtId="164" fontId="11" fillId="5" borderId="1" xfId="0" applyNumberFormat="1" applyFont="1" applyFill="1" applyBorder="1" applyAlignment="1" applyProtection="1">
      <alignment horizontal="center"/>
    </xf>
    <xf numFmtId="0" fontId="16" fillId="0" borderId="9" xfId="0" applyFont="1" applyBorder="1" applyProtection="1"/>
    <xf numFmtId="0" fontId="16" fillId="0" borderId="6" xfId="0" quotePrefix="1" applyFont="1" applyBorder="1" applyAlignment="1" applyProtection="1"/>
    <xf numFmtId="0" fontId="0" fillId="0" borderId="8" xfId="0" applyBorder="1" applyProtection="1"/>
    <xf numFmtId="0" fontId="16" fillId="0" borderId="6" xfId="0" quotePrefix="1" applyFont="1" applyBorder="1" applyProtection="1"/>
    <xf numFmtId="0" fontId="16" fillId="0" borderId="2" xfId="0" quotePrefix="1" applyFont="1" applyFill="1" applyBorder="1" applyProtection="1"/>
    <xf numFmtId="0" fontId="16" fillId="0" borderId="8" xfId="0" applyFont="1" applyBorder="1" applyAlignment="1" applyProtection="1"/>
    <xf numFmtId="164" fontId="11" fillId="9" borderId="1" xfId="0" applyNumberFormat="1" applyFont="1" applyFill="1" applyBorder="1" applyAlignment="1" applyProtection="1">
      <alignment horizontal="center"/>
    </xf>
    <xf numFmtId="0" fontId="11" fillId="3" borderId="1" xfId="0" applyFont="1" applyFill="1" applyBorder="1" applyAlignment="1" applyProtection="1">
      <alignment horizontal="center"/>
      <protection locked="0"/>
    </xf>
    <xf numFmtId="0" fontId="11" fillId="4" borderId="1" xfId="0" applyFont="1" applyFill="1" applyBorder="1" applyAlignment="1" applyProtection="1">
      <alignment horizontal="center"/>
      <protection locked="0"/>
    </xf>
    <xf numFmtId="164" fontId="13" fillId="6" borderId="1" xfId="0" applyNumberFormat="1" applyFont="1" applyFill="1" applyBorder="1" applyAlignment="1" applyProtection="1">
      <alignment horizontal="center"/>
      <protection locked="0"/>
    </xf>
    <xf numFmtId="1" fontId="11" fillId="0" borderId="1" xfId="0" applyNumberFormat="1" applyFont="1" applyFill="1" applyBorder="1" applyAlignment="1" applyProtection="1">
      <alignment horizontal="center"/>
    </xf>
    <xf numFmtId="1" fontId="11" fillId="9" borderId="1" xfId="0" applyNumberFormat="1" applyFont="1" applyFill="1" applyBorder="1" applyAlignment="1" applyProtection="1">
      <alignment horizontal="center"/>
    </xf>
    <xf numFmtId="0" fontId="4" fillId="0" borderId="7" xfId="0" applyFont="1" applyBorder="1" applyAlignment="1" applyProtection="1"/>
    <xf numFmtId="0" fontId="4" fillId="0" borderId="0" xfId="0" applyFont="1" applyBorder="1" applyAlignment="1" applyProtection="1"/>
    <xf numFmtId="164" fontId="11" fillId="5" borderId="3" xfId="0" applyNumberFormat="1" applyFont="1" applyFill="1" applyBorder="1" applyAlignment="1" applyProtection="1">
      <alignment horizontal="center"/>
    </xf>
    <xf numFmtId="164" fontId="11" fillId="0" borderId="4" xfId="0" applyNumberFormat="1" applyFont="1" applyFill="1" applyBorder="1" applyAlignment="1" applyProtection="1">
      <alignment horizontal="center"/>
    </xf>
    <xf numFmtId="1" fontId="11" fillId="9" borderId="4" xfId="0" applyNumberFormat="1" applyFont="1" applyFill="1" applyBorder="1" applyAlignment="1" applyProtection="1">
      <alignment horizontal="center"/>
    </xf>
    <xf numFmtId="0" fontId="0" fillId="0" borderId="4" xfId="0" applyFill="1" applyBorder="1" applyProtection="1"/>
    <xf numFmtId="164" fontId="11" fillId="9" borderId="42" xfId="0" applyNumberFormat="1" applyFont="1" applyFill="1" applyBorder="1" applyAlignment="1" applyProtection="1">
      <alignment horizontal="center"/>
    </xf>
    <xf numFmtId="164" fontId="11" fillId="5" borderId="42" xfId="0" applyNumberFormat="1" applyFont="1" applyFill="1" applyBorder="1" applyAlignment="1" applyProtection="1">
      <alignment horizontal="center"/>
    </xf>
    <xf numFmtId="164" fontId="11" fillId="9" borderId="43" xfId="0" applyNumberFormat="1" applyFont="1" applyFill="1" applyBorder="1" applyAlignment="1" applyProtection="1">
      <alignment horizontal="center"/>
    </xf>
    <xf numFmtId="164" fontId="11" fillId="0" borderId="43" xfId="0" applyNumberFormat="1" applyFont="1" applyFill="1" applyBorder="1" applyAlignment="1" applyProtection="1">
      <alignment horizontal="center"/>
    </xf>
    <xf numFmtId="0" fontId="0" fillId="0" borderId="43" xfId="0" applyFill="1" applyBorder="1" applyProtection="1"/>
    <xf numFmtId="0" fontId="19" fillId="2" borderId="5" xfId="0" applyFont="1" applyFill="1" applyBorder="1" applyProtection="1"/>
    <xf numFmtId="0" fontId="27" fillId="0" borderId="0" xfId="0" applyFont="1" applyProtection="1"/>
    <xf numFmtId="0" fontId="16" fillId="0" borderId="0" xfId="0" applyFont="1" applyProtection="1"/>
    <xf numFmtId="0" fontId="0" fillId="0" borderId="3" xfId="0" applyBorder="1" applyProtection="1"/>
    <xf numFmtId="0" fontId="0" fillId="0" borderId="1" xfId="0" applyFill="1" applyBorder="1" applyProtection="1"/>
    <xf numFmtId="0" fontId="0" fillId="0" borderId="42" xfId="0" applyBorder="1" applyProtection="1"/>
    <xf numFmtId="0" fontId="0" fillId="0" borderId="8" xfId="0" applyBorder="1"/>
    <xf numFmtId="0" fontId="11" fillId="3" borderId="2" xfId="0" applyFont="1" applyFill="1" applyBorder="1" applyAlignment="1" applyProtection="1"/>
    <xf numFmtId="0" fontId="27" fillId="4" borderId="2" xfId="0" applyFont="1" applyFill="1" applyBorder="1" applyAlignment="1" applyProtection="1"/>
    <xf numFmtId="0" fontId="0" fillId="0" borderId="9" xfId="0" applyBorder="1"/>
    <xf numFmtId="0" fontId="30" fillId="11" borderId="6" xfId="0" applyFont="1" applyFill="1" applyBorder="1" applyAlignment="1" applyProtection="1"/>
    <xf numFmtId="0" fontId="11" fillId="5" borderId="2" xfId="0" applyFont="1" applyFill="1" applyBorder="1" applyAlignment="1" applyProtection="1"/>
    <xf numFmtId="0" fontId="31" fillId="0" borderId="2" xfId="0" applyFont="1" applyFill="1" applyBorder="1" applyAlignment="1" applyProtection="1"/>
    <xf numFmtId="0" fontId="32" fillId="0" borderId="6" xfId="0" applyFont="1" applyFill="1" applyBorder="1" applyAlignment="1" applyProtection="1"/>
    <xf numFmtId="0" fontId="11" fillId="6" borderId="2" xfId="0" applyFont="1" applyFill="1" applyBorder="1" applyAlignment="1" applyProtection="1"/>
    <xf numFmtId="0" fontId="32" fillId="10" borderId="6" xfId="0" applyFont="1" applyFill="1" applyBorder="1" applyAlignment="1" applyProtection="1"/>
    <xf numFmtId="0" fontId="0" fillId="0" borderId="1" xfId="0" applyBorder="1" applyProtection="1"/>
    <xf numFmtId="0" fontId="15" fillId="0" borderId="0" xfId="0" applyFont="1" applyAlignment="1" applyProtection="1">
      <alignment horizontal="center"/>
    </xf>
    <xf numFmtId="0" fontId="20" fillId="7" borderId="27" xfId="0" applyFont="1" applyFill="1" applyBorder="1" applyAlignment="1">
      <alignment horizontal="center" wrapText="1"/>
    </xf>
    <xf numFmtId="0" fontId="0" fillId="0" borderId="0" xfId="0"/>
    <xf numFmtId="0" fontId="0" fillId="0" borderId="0" xfId="0" quotePrefix="1" applyProtection="1"/>
    <xf numFmtId="0" fontId="19" fillId="2" borderId="2" xfId="0" applyFont="1" applyFill="1" applyBorder="1" applyProtection="1"/>
    <xf numFmtId="0" fontId="0" fillId="0" borderId="1" xfId="0" applyBorder="1" applyAlignment="1" applyProtection="1">
      <alignment horizontal="right"/>
    </xf>
    <xf numFmtId="0" fontId="23" fillId="2" borderId="10" xfId="0" applyFont="1" applyFill="1" applyBorder="1" applyAlignment="1" applyProtection="1"/>
    <xf numFmtId="0" fontId="33" fillId="0" borderId="13" xfId="0" applyFont="1" applyBorder="1" applyAlignment="1" applyProtection="1"/>
    <xf numFmtId="0" fontId="33" fillId="0" borderId="12" xfId="0" applyFont="1" applyBorder="1" applyAlignment="1" applyProtection="1"/>
    <xf numFmtId="0" fontId="6" fillId="0" borderId="0" xfId="0" applyFont="1" applyFill="1" applyBorder="1" applyAlignment="1" applyProtection="1"/>
    <xf numFmtId="0" fontId="6" fillId="0" borderId="0" xfId="0" applyFont="1" applyFill="1" applyBorder="1" applyProtection="1"/>
    <xf numFmtId="0" fontId="26" fillId="2" borderId="0" xfId="0" applyFont="1" applyFill="1" applyBorder="1" applyAlignment="1" applyProtection="1">
      <alignment horizontal="center"/>
    </xf>
    <xf numFmtId="0" fontId="11" fillId="9" borderId="4" xfId="0" applyFont="1" applyFill="1" applyBorder="1" applyAlignment="1" applyProtection="1">
      <alignment horizontal="center"/>
    </xf>
    <xf numFmtId="0" fontId="11" fillId="9" borderId="1"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1" xfId="0" applyFont="1" applyFill="1" applyBorder="1" applyAlignment="1" applyProtection="1">
      <alignment horizontal="center"/>
    </xf>
    <xf numFmtId="0" fontId="35" fillId="0" borderId="12" xfId="0" applyFont="1" applyFill="1" applyBorder="1" applyAlignment="1" applyProtection="1">
      <alignment horizontal="center"/>
    </xf>
    <xf numFmtId="0" fontId="36" fillId="0" borderId="20" xfId="0" applyFont="1" applyFill="1" applyBorder="1" applyAlignment="1" applyProtection="1">
      <alignment horizontal="center"/>
    </xf>
    <xf numFmtId="0" fontId="36" fillId="0" borderId="26" xfId="0" applyFont="1" applyFill="1" applyBorder="1" applyAlignment="1" applyProtection="1">
      <alignment horizontal="center"/>
    </xf>
    <xf numFmtId="0" fontId="21" fillId="0" borderId="1" xfId="0" applyFont="1" applyFill="1" applyBorder="1" applyAlignment="1" applyProtection="1">
      <alignment horizontal="center"/>
    </xf>
    <xf numFmtId="0" fontId="23" fillId="12" borderId="10" xfId="0" applyFont="1" applyFill="1" applyBorder="1" applyAlignment="1" applyProtection="1"/>
    <xf numFmtId="0" fontId="37" fillId="12" borderId="52" xfId="0" applyFont="1" applyFill="1" applyBorder="1" applyAlignment="1" applyProtection="1">
      <alignment horizontal="center"/>
    </xf>
    <xf numFmtId="0" fontId="37" fillId="12" borderId="53" xfId="0" applyFont="1" applyFill="1" applyBorder="1" applyAlignment="1" applyProtection="1">
      <alignment horizontal="center"/>
    </xf>
    <xf numFmtId="0" fontId="26" fillId="12" borderId="10" xfId="0" applyFont="1" applyFill="1" applyBorder="1" applyAlignment="1" applyProtection="1">
      <alignment horizontal="center"/>
    </xf>
    <xf numFmtId="0" fontId="19" fillId="12" borderId="10" xfId="0" applyFont="1" applyFill="1" applyBorder="1" applyProtection="1"/>
    <xf numFmtId="0" fontId="0" fillId="0" borderId="7" xfId="0" applyFill="1" applyBorder="1" applyAlignment="1" applyProtection="1">
      <alignment horizontal="right"/>
    </xf>
    <xf numFmtId="0" fontId="11" fillId="0" borderId="7" xfId="0" applyFont="1" applyFill="1" applyBorder="1" applyAlignment="1" applyProtection="1">
      <alignment horizontal="left"/>
    </xf>
    <xf numFmtId="0" fontId="13" fillId="9" borderId="1" xfId="0" applyFont="1" applyFill="1" applyBorder="1" applyAlignment="1" applyProtection="1">
      <alignment horizontal="center"/>
    </xf>
    <xf numFmtId="0" fontId="11" fillId="3" borderId="1" xfId="0" applyFont="1" applyFill="1" applyBorder="1" applyAlignment="1" applyProtection="1">
      <alignment horizontal="left"/>
      <protection locked="0"/>
    </xf>
    <xf numFmtId="0" fontId="0" fillId="9" borderId="1" xfId="0" applyFill="1" applyBorder="1" applyAlignment="1" applyProtection="1">
      <alignment horizontal="center"/>
    </xf>
    <xf numFmtId="0" fontId="0" fillId="9" borderId="1" xfId="0" applyFill="1" applyBorder="1" applyProtection="1"/>
    <xf numFmtId="164" fontId="0" fillId="0" borderId="13" xfId="0" applyNumberFormat="1" applyFill="1" applyBorder="1" applyAlignment="1">
      <alignment horizontal="center"/>
    </xf>
    <xf numFmtId="164" fontId="0" fillId="0" borderId="32" xfId="0" applyNumberFormat="1" applyFill="1" applyBorder="1" applyAlignment="1">
      <alignment horizontal="center"/>
    </xf>
    <xf numFmtId="164" fontId="0" fillId="8" borderId="56" xfId="0" applyNumberFormat="1" applyFill="1" applyBorder="1" applyAlignment="1">
      <alignment horizontal="center"/>
    </xf>
    <xf numFmtId="164" fontId="0" fillId="8" borderId="57" xfId="0" applyNumberFormat="1" applyFill="1" applyBorder="1" applyAlignment="1">
      <alignment horizontal="center"/>
    </xf>
    <xf numFmtId="0" fontId="18" fillId="7" borderId="32" xfId="0" applyFont="1" applyFill="1" applyBorder="1" applyAlignment="1">
      <alignment horizontal="center"/>
    </xf>
    <xf numFmtId="0" fontId="11" fillId="8" borderId="4" xfId="0" applyFont="1" applyFill="1" applyBorder="1" applyAlignment="1" applyProtection="1">
      <alignment horizontal="center"/>
    </xf>
    <xf numFmtId="0" fontId="11" fillId="8" borderId="1" xfId="0" applyFont="1" applyFill="1" applyBorder="1" applyAlignment="1" applyProtection="1">
      <alignment horizontal="center"/>
    </xf>
    <xf numFmtId="0" fontId="21" fillId="8" borderId="1" xfId="0" applyFont="1" applyFill="1" applyBorder="1" applyAlignment="1" applyProtection="1">
      <alignment horizontal="center"/>
    </xf>
    <xf numFmtId="0" fontId="36" fillId="8" borderId="20" xfId="0" applyFont="1" applyFill="1" applyBorder="1" applyAlignment="1" applyProtection="1">
      <alignment horizontal="center"/>
    </xf>
    <xf numFmtId="0" fontId="36" fillId="8" borderId="26" xfId="0" applyFont="1" applyFill="1" applyBorder="1" applyAlignment="1" applyProtection="1">
      <alignment horizontal="center"/>
    </xf>
    <xf numFmtId="0" fontId="35" fillId="8" borderId="12" xfId="0" applyFont="1" applyFill="1" applyBorder="1" applyAlignment="1" applyProtection="1">
      <alignment horizontal="center"/>
    </xf>
    <xf numFmtId="0" fontId="0" fillId="0" borderId="0" xfId="0"/>
    <xf numFmtId="0" fontId="0" fillId="0" borderId="0" xfId="0"/>
    <xf numFmtId="164" fontId="0" fillId="8" borderId="59" xfId="0" applyNumberFormat="1" applyFill="1" applyBorder="1" applyAlignment="1">
      <alignment horizontal="center"/>
    </xf>
    <xf numFmtId="164" fontId="0" fillId="8" borderId="60" xfId="0" applyNumberFormat="1" applyFill="1" applyBorder="1" applyAlignment="1">
      <alignment horizontal="center"/>
    </xf>
    <xf numFmtId="164" fontId="0" fillId="0" borderId="38" xfId="0" applyNumberFormat="1" applyFill="1" applyBorder="1" applyAlignment="1">
      <alignment horizontal="center"/>
    </xf>
    <xf numFmtId="164" fontId="0" fillId="8" borderId="61" xfId="0" applyNumberFormat="1" applyFill="1" applyBorder="1" applyAlignment="1">
      <alignment horizontal="center"/>
    </xf>
    <xf numFmtId="164" fontId="0" fillId="8" borderId="62" xfId="0" applyNumberFormat="1" applyFill="1" applyBorder="1" applyAlignment="1">
      <alignment horizontal="center"/>
    </xf>
    <xf numFmtId="0" fontId="6" fillId="0" borderId="1" xfId="0" applyFont="1" applyFill="1" applyBorder="1" applyProtection="1"/>
    <xf numFmtId="0" fontId="26" fillId="12" borderId="10" xfId="0" applyFont="1" applyFill="1" applyBorder="1" applyAlignment="1" applyProtection="1"/>
    <xf numFmtId="0" fontId="6" fillId="0" borderId="0" xfId="0" applyFont="1"/>
    <xf numFmtId="0" fontId="6" fillId="0" borderId="0" xfId="0" applyFont="1" applyFill="1" applyBorder="1"/>
    <xf numFmtId="0" fontId="21" fillId="0" borderId="0" xfId="0" applyFont="1" applyFill="1" applyBorder="1" applyAlignment="1" applyProtection="1">
      <alignment wrapText="1"/>
    </xf>
    <xf numFmtId="0" fontId="6" fillId="0" borderId="0" xfId="0" applyFont="1" applyAlignment="1">
      <alignment wrapText="1"/>
    </xf>
    <xf numFmtId="0" fontId="6" fillId="0" borderId="0" xfId="0" applyFont="1" applyFill="1" applyBorder="1" applyAlignment="1" applyProtection="1">
      <alignment vertical="top" wrapText="1"/>
    </xf>
    <xf numFmtId="0" fontId="6" fillId="0" borderId="0" xfId="0" applyFont="1" applyFill="1" applyBorder="1" applyAlignment="1">
      <alignment vertical="top" wrapText="1"/>
    </xf>
    <xf numFmtId="0" fontId="6" fillId="0" borderId="0" xfId="0" applyFont="1" applyAlignment="1">
      <alignment vertical="top" wrapText="1"/>
    </xf>
    <xf numFmtId="0" fontId="21" fillId="0" borderId="0" xfId="0" applyFont="1" applyFill="1" applyBorder="1" applyAlignment="1">
      <alignment horizontal="center" vertical="top" wrapText="1"/>
    </xf>
    <xf numFmtId="0" fontId="21" fillId="0" borderId="0" xfId="0" applyFont="1" applyFill="1" applyBorder="1" applyAlignment="1" applyProtection="1">
      <alignment horizontal="center" vertical="top" wrapText="1"/>
    </xf>
    <xf numFmtId="0" fontId="21" fillId="0" borderId="0" xfId="0" applyFont="1" applyAlignment="1">
      <alignment horizontal="center" vertical="top" wrapText="1"/>
    </xf>
    <xf numFmtId="0" fontId="21" fillId="0" borderId="64" xfId="0" applyFont="1" applyFill="1" applyBorder="1" applyAlignment="1">
      <alignment horizontal="center" vertical="top" wrapText="1"/>
    </xf>
    <xf numFmtId="0" fontId="6" fillId="0" borderId="64" xfId="0" applyFont="1" applyFill="1" applyBorder="1" applyAlignment="1" applyProtection="1">
      <alignment vertical="top" wrapText="1"/>
    </xf>
    <xf numFmtId="0" fontId="21" fillId="0" borderId="65" xfId="0" applyFont="1" applyFill="1" applyBorder="1" applyAlignment="1">
      <alignment horizontal="center" vertical="top" wrapText="1"/>
    </xf>
    <xf numFmtId="0" fontId="6" fillId="0" borderId="65" xfId="0" applyFont="1" applyFill="1" applyBorder="1" applyAlignment="1" applyProtection="1">
      <alignment vertical="top" wrapText="1"/>
    </xf>
    <xf numFmtId="0" fontId="6" fillId="0" borderId="64" xfId="0" applyFont="1" applyFill="1" applyBorder="1" applyAlignment="1">
      <alignment vertical="top" wrapText="1"/>
    </xf>
    <xf numFmtId="0" fontId="6" fillId="0" borderId="65" xfId="0" applyFont="1" applyFill="1" applyBorder="1" applyAlignment="1">
      <alignment vertical="top" wrapText="1"/>
    </xf>
    <xf numFmtId="0" fontId="21" fillId="0" borderId="63" xfId="0" applyFont="1" applyFill="1" applyBorder="1" applyAlignment="1">
      <alignment horizontal="center" vertical="top" wrapText="1"/>
    </xf>
    <xf numFmtId="0" fontId="6" fillId="0" borderId="63" xfId="0" applyFont="1" applyFill="1" applyBorder="1" applyAlignment="1">
      <alignment vertical="top" wrapText="1"/>
    </xf>
    <xf numFmtId="0" fontId="21" fillId="0" borderId="64" xfId="0" applyFont="1" applyBorder="1" applyAlignment="1">
      <alignment horizontal="center" vertical="top" wrapText="1"/>
    </xf>
    <xf numFmtId="0" fontId="6" fillId="0" borderId="64" xfId="0" applyFont="1" applyBorder="1" applyAlignment="1">
      <alignment vertical="top" wrapText="1"/>
    </xf>
    <xf numFmtId="0" fontId="21" fillId="0" borderId="0" xfId="0" applyFont="1" applyBorder="1" applyAlignment="1">
      <alignment horizontal="center" vertical="top" wrapText="1"/>
    </xf>
    <xf numFmtId="0" fontId="6" fillId="0" borderId="0" xfId="0" applyFont="1" applyBorder="1" applyAlignment="1">
      <alignment vertical="top" wrapText="1"/>
    </xf>
    <xf numFmtId="0" fontId="21" fillId="0" borderId="65" xfId="0" applyFont="1" applyBorder="1" applyAlignment="1">
      <alignment horizontal="center" vertical="top" wrapText="1"/>
    </xf>
    <xf numFmtId="0" fontId="6" fillId="0" borderId="65" xfId="0" applyFont="1" applyBorder="1" applyAlignment="1">
      <alignment vertical="top" wrapText="1"/>
    </xf>
    <xf numFmtId="0" fontId="21" fillId="0" borderId="63" xfId="0" applyFont="1" applyBorder="1" applyAlignment="1">
      <alignment horizontal="center" vertical="top" wrapText="1"/>
    </xf>
    <xf numFmtId="0" fontId="6" fillId="0" borderId="63" xfId="0" applyFont="1" applyBorder="1" applyAlignment="1">
      <alignment vertical="top" wrapText="1"/>
    </xf>
    <xf numFmtId="0" fontId="11" fillId="3" borderId="4" xfId="0" applyFont="1" applyFill="1" applyBorder="1" applyAlignment="1" applyProtection="1">
      <alignment horizontal="center"/>
      <protection locked="0"/>
    </xf>
    <xf numFmtId="0" fontId="26" fillId="12" borderId="0" xfId="0" applyFont="1" applyFill="1" applyBorder="1" applyAlignment="1" applyProtection="1"/>
    <xf numFmtId="0" fontId="44" fillId="0" borderId="0" xfId="0" applyFont="1" applyProtection="1"/>
    <xf numFmtId="0" fontId="16" fillId="0" borderId="6" xfId="0" applyFont="1" applyBorder="1" applyAlignment="1">
      <alignment wrapText="1"/>
    </xf>
    <xf numFmtId="0" fontId="16" fillId="0" borderId="2" xfId="0" applyFont="1" applyBorder="1" applyAlignment="1">
      <alignment wrapText="1"/>
    </xf>
    <xf numFmtId="0" fontId="0" fillId="0" borderId="25" xfId="0" applyFill="1" applyBorder="1" applyAlignment="1">
      <alignment horizontal="center"/>
    </xf>
    <xf numFmtId="0" fontId="0" fillId="0" borderId="12" xfId="0" applyFill="1" applyBorder="1"/>
    <xf numFmtId="0" fontId="0" fillId="0" borderId="20" xfId="0" applyFill="1" applyBorder="1" applyAlignment="1">
      <alignment horizontal="center"/>
    </xf>
    <xf numFmtId="0" fontId="36" fillId="0" borderId="1" xfId="0" applyFont="1" applyFill="1" applyBorder="1" applyAlignment="1" applyProtection="1">
      <alignment horizontal="left"/>
    </xf>
    <xf numFmtId="0" fontId="11" fillId="0" borderId="13" xfId="0" applyFont="1" applyFill="1" applyBorder="1" applyAlignment="1" applyProtection="1">
      <alignment horizontal="left"/>
    </xf>
    <xf numFmtId="0" fontId="0" fillId="0" borderId="0" xfId="0" applyFill="1" applyBorder="1" applyAlignment="1" applyProtection="1">
      <alignment horizontal="right"/>
    </xf>
    <xf numFmtId="0" fontId="23" fillId="12" borderId="0" xfId="0" applyFont="1" applyFill="1" applyBorder="1" applyAlignment="1" applyProtection="1">
      <alignment horizontal="right"/>
    </xf>
    <xf numFmtId="0" fontId="42" fillId="3" borderId="1" xfId="0" applyFont="1" applyFill="1" applyBorder="1" applyAlignment="1" applyProtection="1">
      <alignment horizontal="center"/>
      <protection locked="0"/>
    </xf>
    <xf numFmtId="0" fontId="43" fillId="3" borderId="1" xfId="0" applyFont="1" applyFill="1" applyBorder="1" applyAlignment="1" applyProtection="1">
      <alignment horizontal="center"/>
      <protection locked="0"/>
    </xf>
    <xf numFmtId="0" fontId="28" fillId="2" borderId="9" xfId="0" applyFont="1" applyFill="1" applyBorder="1" applyAlignment="1" applyProtection="1"/>
    <xf numFmtId="0" fontId="28" fillId="2" borderId="10" xfId="0" applyFont="1" applyFill="1" applyBorder="1" applyAlignment="1" applyProtection="1"/>
    <xf numFmtId="0" fontId="9" fillId="2" borderId="0" xfId="0" applyFont="1" applyFill="1" applyAlignment="1" applyProtection="1">
      <alignment horizontal="center"/>
    </xf>
    <xf numFmtId="0" fontId="0" fillId="0" borderId="11" xfId="0" applyBorder="1" applyAlignment="1" applyProtection="1"/>
    <xf numFmtId="0" fontId="0" fillId="0" borderId="13" xfId="0" applyBorder="1" applyAlignment="1" applyProtection="1"/>
    <xf numFmtId="14" fontId="11" fillId="3" borderId="11" xfId="0" applyNumberFormat="1" applyFont="1" applyFill="1" applyBorder="1" applyAlignment="1" applyProtection="1">
      <alignment horizontal="left"/>
      <protection locked="0"/>
    </xf>
    <xf numFmtId="0" fontId="11" fillId="3" borderId="13" xfId="0" quotePrefix="1" applyFont="1" applyFill="1" applyBorder="1" applyAlignment="1" applyProtection="1">
      <alignment horizontal="left"/>
      <protection locked="0"/>
    </xf>
    <xf numFmtId="0" fontId="11" fillId="3" borderId="12" xfId="0" quotePrefix="1" applyFont="1" applyFill="1" applyBorder="1" applyAlignment="1" applyProtection="1">
      <alignment horizontal="left"/>
      <protection locked="0"/>
    </xf>
    <xf numFmtId="0" fontId="11" fillId="3" borderId="11" xfId="0" applyFont="1" applyFill="1" applyBorder="1" applyAlignment="1" applyProtection="1">
      <alignment horizontal="left"/>
      <protection locked="0"/>
    </xf>
    <xf numFmtId="0" fontId="11" fillId="3" borderId="13" xfId="0" applyFont="1" applyFill="1" applyBorder="1" applyAlignment="1" applyProtection="1">
      <alignment horizontal="left"/>
      <protection locked="0"/>
    </xf>
    <xf numFmtId="0" fontId="11" fillId="3" borderId="12" xfId="0" applyFont="1" applyFill="1" applyBorder="1" applyAlignment="1" applyProtection="1">
      <alignment horizontal="left"/>
      <protection locked="0"/>
    </xf>
    <xf numFmtId="0" fontId="0" fillId="0" borderId="11" xfId="0" applyFont="1" applyBorder="1" applyAlignment="1" applyProtection="1">
      <alignment horizontal="right"/>
    </xf>
    <xf numFmtId="0" fontId="0" fillId="0" borderId="12" xfId="0" applyFont="1" applyBorder="1" applyAlignment="1" applyProtection="1">
      <alignment horizontal="right"/>
    </xf>
    <xf numFmtId="0" fontId="26" fillId="2" borderId="19" xfId="0" applyFont="1" applyFill="1" applyBorder="1" applyAlignment="1" applyProtection="1">
      <alignment horizontal="right"/>
    </xf>
    <xf numFmtId="0" fontId="26" fillId="2" borderId="7" xfId="0" applyFont="1" applyFill="1" applyBorder="1" applyAlignment="1" applyProtection="1">
      <alignment horizontal="right"/>
    </xf>
    <xf numFmtId="0" fontId="23" fillId="2" borderId="19" xfId="0" applyFont="1" applyFill="1" applyBorder="1" applyAlignment="1" applyProtection="1">
      <alignment horizontal="left"/>
    </xf>
    <xf numFmtId="0" fontId="23" fillId="2" borderId="7" xfId="0" applyFont="1" applyFill="1" applyBorder="1" applyAlignment="1" applyProtection="1">
      <alignment horizontal="left"/>
    </xf>
    <xf numFmtId="0" fontId="0" fillId="0" borderId="11" xfId="0" applyBorder="1" applyAlignment="1" applyProtection="1">
      <alignment horizontal="right"/>
    </xf>
    <xf numFmtId="0" fontId="0" fillId="0" borderId="13" xfId="0" applyBorder="1" applyAlignment="1" applyProtection="1">
      <alignment horizontal="right"/>
    </xf>
    <xf numFmtId="0" fontId="0" fillId="0" borderId="12" xfId="0" applyBorder="1" applyAlignment="1" applyProtection="1">
      <alignment horizontal="right"/>
    </xf>
    <xf numFmtId="0" fontId="0" fillId="0" borderId="1" xfId="0" applyBorder="1" applyProtection="1"/>
    <xf numFmtId="0" fontId="0" fillId="0" borderId="1" xfId="0" applyFont="1" applyBorder="1" applyProtection="1"/>
    <xf numFmtId="0" fontId="0" fillId="0" borderId="11" xfId="0" applyBorder="1" applyProtection="1"/>
    <xf numFmtId="0" fontId="0" fillId="0" borderId="13" xfId="0" applyBorder="1" applyProtection="1"/>
    <xf numFmtId="0" fontId="0" fillId="0" borderId="12" xfId="0" applyBorder="1" applyProtection="1"/>
    <xf numFmtId="0" fontId="0" fillId="0" borderId="19" xfId="0" applyBorder="1" applyProtection="1"/>
    <xf numFmtId="0" fontId="0" fillId="0" borderId="7" xfId="0" applyBorder="1" applyProtection="1"/>
    <xf numFmtId="0" fontId="0" fillId="0" borderId="5" xfId="0" applyBorder="1" applyProtection="1"/>
    <xf numFmtId="0" fontId="23" fillId="2" borderId="9" xfId="0" applyFont="1" applyFill="1" applyBorder="1" applyProtection="1"/>
    <xf numFmtId="0" fontId="23" fillId="2" borderId="10" xfId="0" applyFont="1" applyFill="1" applyBorder="1" applyProtection="1"/>
    <xf numFmtId="0" fontId="0" fillId="0" borderId="11" xfId="0" applyFont="1" applyBorder="1" applyProtection="1"/>
    <xf numFmtId="0" fontId="0" fillId="0" borderId="13" xfId="0" applyFont="1" applyBorder="1" applyProtection="1"/>
    <xf numFmtId="0" fontId="0" fillId="0" borderId="12" xfId="0" applyFont="1" applyBorder="1" applyProtection="1"/>
    <xf numFmtId="0" fontId="0" fillId="0" borderId="11" xfId="0" applyFill="1" applyBorder="1" applyProtection="1"/>
    <xf numFmtId="0" fontId="0" fillId="0" borderId="13" xfId="0" applyFill="1" applyBorder="1" applyProtection="1"/>
    <xf numFmtId="0" fontId="0" fillId="0" borderId="12" xfId="0" applyFill="1" applyBorder="1" applyProtection="1"/>
    <xf numFmtId="0" fontId="26" fillId="2" borderId="9" xfId="0" applyFont="1" applyFill="1" applyBorder="1" applyAlignment="1" applyProtection="1">
      <alignment horizontal="right"/>
    </xf>
    <xf numFmtId="0" fontId="26" fillId="2" borderId="10" xfId="0" applyFont="1" applyFill="1" applyBorder="1" applyAlignment="1" applyProtection="1">
      <alignment horizontal="right"/>
    </xf>
    <xf numFmtId="0" fontId="0" fillId="9" borderId="11" xfId="0" applyFill="1" applyBorder="1" applyProtection="1"/>
    <xf numFmtId="0" fontId="0" fillId="9" borderId="13" xfId="0" applyFill="1" applyBorder="1" applyProtection="1"/>
    <xf numFmtId="0" fontId="0" fillId="9" borderId="12" xfId="0" applyFill="1" applyBorder="1" applyProtection="1"/>
    <xf numFmtId="0" fontId="0" fillId="0" borderId="44" xfId="0" applyBorder="1" applyAlignment="1" applyProtection="1">
      <alignment horizontal="left"/>
    </xf>
    <xf numFmtId="0" fontId="0" fillId="0" borderId="45" xfId="0" applyBorder="1" applyAlignment="1" applyProtection="1">
      <alignment horizontal="left"/>
    </xf>
    <xf numFmtId="0" fontId="0" fillId="0" borderId="46" xfId="0" applyBorder="1" applyAlignment="1" applyProtection="1">
      <alignment horizontal="left"/>
    </xf>
    <xf numFmtId="0" fontId="0" fillId="0" borderId="47" xfId="0" applyBorder="1" applyAlignment="1" applyProtection="1">
      <alignment horizontal="left"/>
    </xf>
    <xf numFmtId="0" fontId="0" fillId="0" borderId="48" xfId="0" applyBorder="1" applyAlignment="1" applyProtection="1">
      <alignment horizontal="left"/>
    </xf>
    <xf numFmtId="0" fontId="0" fillId="0" borderId="49" xfId="0" applyBorder="1" applyAlignment="1" applyProtection="1">
      <alignment horizontal="left"/>
    </xf>
    <xf numFmtId="0" fontId="0" fillId="0" borderId="11" xfId="0" applyBorder="1" applyAlignment="1" applyProtection="1">
      <alignment horizontal="left"/>
    </xf>
    <xf numFmtId="0" fontId="0" fillId="0" borderId="13" xfId="0" applyBorder="1" applyAlignment="1" applyProtection="1">
      <alignment horizontal="left"/>
    </xf>
    <xf numFmtId="0" fontId="0" fillId="0" borderId="12" xfId="0" applyBorder="1" applyAlignment="1" applyProtection="1">
      <alignment horizontal="left"/>
    </xf>
    <xf numFmtId="0" fontId="0" fillId="9" borderId="1" xfId="0" applyFont="1" applyFill="1" applyBorder="1" applyAlignment="1" applyProtection="1"/>
    <xf numFmtId="0" fontId="0" fillId="9" borderId="19" xfId="0" applyFill="1" applyBorder="1" applyAlignment="1" applyProtection="1">
      <alignment horizontal="left" vertical="center"/>
    </xf>
    <xf numFmtId="0" fontId="0" fillId="9" borderId="7" xfId="0" applyFill="1" applyBorder="1" applyAlignment="1" applyProtection="1">
      <alignment horizontal="left" vertical="center"/>
    </xf>
    <xf numFmtId="0" fontId="0" fillId="9" borderId="5" xfId="0" applyFill="1" applyBorder="1" applyAlignment="1" applyProtection="1">
      <alignment horizontal="left" vertical="center"/>
    </xf>
    <xf numFmtId="0" fontId="0" fillId="9" borderId="8" xfId="0" applyFill="1" applyBorder="1" applyAlignment="1" applyProtection="1">
      <alignment horizontal="left" vertical="center"/>
    </xf>
    <xf numFmtId="0" fontId="0" fillId="9" borderId="0" xfId="0" applyFill="1" applyBorder="1" applyAlignment="1" applyProtection="1">
      <alignment horizontal="left" vertical="center"/>
    </xf>
    <xf numFmtId="0" fontId="0" fillId="9" borderId="2" xfId="0" applyFill="1" applyBorder="1" applyAlignment="1" applyProtection="1">
      <alignment horizontal="left" vertical="center"/>
    </xf>
    <xf numFmtId="0" fontId="0" fillId="9" borderId="9" xfId="0" applyFill="1" applyBorder="1" applyAlignment="1" applyProtection="1">
      <alignment horizontal="left" vertical="center"/>
    </xf>
    <xf numFmtId="0" fontId="0" fillId="9" borderId="10" xfId="0" applyFill="1" applyBorder="1" applyAlignment="1" applyProtection="1">
      <alignment horizontal="left" vertical="center"/>
    </xf>
    <xf numFmtId="0" fontId="0" fillId="9" borderId="6" xfId="0" applyFill="1" applyBorder="1" applyAlignment="1" applyProtection="1">
      <alignment horizontal="left" vertical="center"/>
    </xf>
    <xf numFmtId="0" fontId="23" fillId="2" borderId="10" xfId="0" applyFont="1" applyFill="1" applyBorder="1" applyAlignment="1" applyProtection="1"/>
    <xf numFmtId="0" fontId="6" fillId="0" borderId="44" xfId="0" applyFont="1" applyBorder="1" applyProtection="1"/>
    <xf numFmtId="0" fontId="6" fillId="0" borderId="45" xfId="0" applyFont="1" applyBorder="1" applyProtection="1"/>
    <xf numFmtId="0" fontId="6" fillId="0" borderId="46" xfId="0" applyFont="1" applyBorder="1" applyProtection="1"/>
    <xf numFmtId="0" fontId="10" fillId="0" borderId="9" xfId="0" applyFont="1" applyBorder="1" applyProtection="1"/>
    <xf numFmtId="0" fontId="10" fillId="0" borderId="10" xfId="0" applyFont="1" applyBorder="1" applyProtection="1"/>
    <xf numFmtId="0" fontId="10" fillId="0" borderId="6" xfId="0" applyFont="1" applyBorder="1" applyProtection="1"/>
    <xf numFmtId="0" fontId="6" fillId="0" borderId="11" xfId="0" applyFont="1" applyBorder="1" applyProtection="1"/>
    <xf numFmtId="0" fontId="6" fillId="0" borderId="13" xfId="0" applyFont="1" applyBorder="1" applyProtection="1"/>
    <xf numFmtId="0" fontId="6" fillId="0" borderId="12" xfId="0" applyFont="1" applyBorder="1" applyProtection="1"/>
    <xf numFmtId="0" fontId="14" fillId="2" borderId="8" xfId="0" applyFont="1" applyFill="1" applyBorder="1" applyAlignment="1" applyProtection="1">
      <alignment horizontal="left" vertical="center" wrapText="1"/>
    </xf>
    <xf numFmtId="0" fontId="14" fillId="2" borderId="0" xfId="0" applyFont="1" applyFill="1" applyBorder="1" applyAlignment="1" applyProtection="1">
      <alignment horizontal="left" vertical="center" wrapText="1"/>
    </xf>
    <xf numFmtId="0" fontId="0" fillId="0" borderId="47" xfId="0" applyFont="1" applyBorder="1" applyProtection="1"/>
    <xf numFmtId="0" fontId="0" fillId="0" borderId="48" xfId="0" applyFont="1" applyBorder="1" applyProtection="1"/>
    <xf numFmtId="0" fontId="0" fillId="0" borderId="49" xfId="0" applyFont="1" applyBorder="1" applyProtection="1"/>
    <xf numFmtId="0" fontId="15" fillId="0" borderId="0" xfId="0" applyFont="1" applyAlignment="1" applyProtection="1">
      <alignment horizontal="center"/>
    </xf>
    <xf numFmtId="0" fontId="0" fillId="0" borderId="9" xfId="0" applyBorder="1" applyProtection="1"/>
    <xf numFmtId="0" fontId="0" fillId="0" borderId="10" xfId="0" applyBorder="1" applyProtection="1"/>
    <xf numFmtId="0" fontId="0" fillId="0" borderId="6" xfId="0" applyBorder="1" applyProtection="1"/>
    <xf numFmtId="0" fontId="0" fillId="0" borderId="44" xfId="0" applyBorder="1" applyProtection="1"/>
    <xf numFmtId="0" fontId="0" fillId="0" borderId="45" xfId="0" applyBorder="1" applyProtection="1"/>
    <xf numFmtId="0" fontId="0" fillId="0" borderId="46" xfId="0" applyBorder="1" applyProtection="1"/>
    <xf numFmtId="0" fontId="0" fillId="0" borderId="47" xfId="0" applyBorder="1" applyProtection="1"/>
    <xf numFmtId="0" fontId="0" fillId="0" borderId="48" xfId="0" applyBorder="1" applyProtection="1"/>
    <xf numFmtId="0" fontId="0" fillId="0" borderId="49" xfId="0" applyBorder="1" applyProtection="1"/>
    <xf numFmtId="0" fontId="29" fillId="2" borderId="0" xfId="0" applyFont="1" applyFill="1" applyAlignment="1">
      <alignment horizontal="center"/>
    </xf>
    <xf numFmtId="0" fontId="38" fillId="0" borderId="0" xfId="0" applyFont="1" applyAlignment="1">
      <alignment horizontal="center"/>
    </xf>
    <xf numFmtId="0" fontId="39" fillId="2" borderId="0" xfId="0" applyFont="1" applyFill="1" applyBorder="1" applyAlignment="1">
      <alignment horizontal="center"/>
    </xf>
    <xf numFmtId="0" fontId="6" fillId="0" borderId="0" xfId="0" applyFont="1" applyAlignment="1">
      <alignment horizontal="left" wrapText="1"/>
    </xf>
    <xf numFmtId="0" fontId="39" fillId="2" borderId="0" xfId="0" applyFont="1" applyFill="1" applyBorder="1" applyAlignment="1">
      <alignment horizontal="center" wrapText="1"/>
    </xf>
    <xf numFmtId="0" fontId="6" fillId="0" borderId="0" xfId="0" applyFont="1" applyFill="1" applyBorder="1" applyAlignment="1">
      <alignment wrapText="1"/>
    </xf>
    <xf numFmtId="0" fontId="6" fillId="0" borderId="0" xfId="0" applyFont="1" applyFill="1" applyBorder="1" applyAlignment="1">
      <alignment vertical="top" wrapText="1"/>
    </xf>
    <xf numFmtId="0" fontId="18" fillId="0" borderId="19" xfId="0" applyFont="1" applyBorder="1" applyProtection="1"/>
    <xf numFmtId="0" fontId="18" fillId="0" borderId="5" xfId="0" applyFont="1" applyBorder="1" applyProtection="1"/>
    <xf numFmtId="0" fontId="15" fillId="0" borderId="0" xfId="0" applyFont="1" applyAlignment="1">
      <alignment horizontal="center"/>
    </xf>
    <xf numFmtId="0" fontId="14" fillId="2" borderId="0" xfId="0" applyFont="1" applyFill="1" applyAlignment="1">
      <alignment horizontal="center"/>
    </xf>
    <xf numFmtId="0" fontId="14" fillId="2" borderId="19" xfId="0" applyFont="1" applyFill="1" applyBorder="1" applyAlignment="1" applyProtection="1">
      <alignment horizontal="center"/>
    </xf>
    <xf numFmtId="0" fontId="14" fillId="2" borderId="5" xfId="0" applyFont="1" applyFill="1" applyBorder="1" applyAlignment="1" applyProtection="1">
      <alignment horizontal="center"/>
    </xf>
    <xf numFmtId="0" fontId="21" fillId="0" borderId="19" xfId="0" applyFont="1" applyFill="1" applyBorder="1" applyAlignment="1">
      <alignment horizontal="left"/>
    </xf>
    <xf numFmtId="0" fontId="21" fillId="0" borderId="5" xfId="0" applyFont="1" applyFill="1" applyBorder="1" applyAlignment="1">
      <alignment horizontal="left"/>
    </xf>
    <xf numFmtId="0" fontId="18" fillId="0" borderId="19" xfId="0" applyFont="1" applyBorder="1" applyAlignment="1" applyProtection="1">
      <alignment horizontal="left"/>
    </xf>
    <xf numFmtId="0" fontId="18" fillId="0" borderId="5" xfId="0" applyFont="1" applyBorder="1" applyAlignment="1" applyProtection="1">
      <alignment horizontal="left"/>
    </xf>
    <xf numFmtId="0" fontId="16" fillId="0" borderId="2" xfId="0" quotePrefix="1" applyFont="1" applyBorder="1" applyAlignment="1" applyProtection="1">
      <alignment horizontal="left" wrapText="1"/>
    </xf>
    <xf numFmtId="0" fontId="14" fillId="2" borderId="8" xfId="0" applyFont="1" applyFill="1" applyBorder="1" applyAlignment="1" applyProtection="1">
      <alignment horizontal="center"/>
    </xf>
    <xf numFmtId="0" fontId="14" fillId="2" borderId="2" xfId="0" applyFont="1" applyFill="1" applyBorder="1" applyAlignment="1" applyProtection="1">
      <alignment horizontal="center"/>
    </xf>
    <xf numFmtId="0" fontId="16" fillId="0" borderId="2" xfId="0" quotePrefix="1" applyFont="1" applyBorder="1" applyAlignment="1" applyProtection="1">
      <alignment horizontal="left" vertical="top" wrapText="1"/>
    </xf>
    <xf numFmtId="0" fontId="16" fillId="0" borderId="6" xfId="0" applyFont="1" applyBorder="1" applyAlignment="1" applyProtection="1">
      <alignment horizontal="left" vertical="top" wrapText="1"/>
    </xf>
    <xf numFmtId="0" fontId="26" fillId="12" borderId="0" xfId="0" applyFont="1" applyFill="1" applyBorder="1" applyAlignment="1" applyProtection="1">
      <alignment vertical="center"/>
    </xf>
    <xf numFmtId="0" fontId="6" fillId="0" borderId="1" xfId="0" applyFont="1" applyFill="1" applyBorder="1" applyAlignment="1" applyProtection="1">
      <alignment horizontal="left" vertical="top" wrapText="1"/>
      <protection locked="0"/>
    </xf>
    <xf numFmtId="0" fontId="11" fillId="0" borderId="5" xfId="0" applyFont="1" applyFill="1" applyBorder="1" applyAlignment="1" applyProtection="1">
      <alignment horizontal="left" vertical="center" wrapText="1"/>
    </xf>
    <xf numFmtId="0" fontId="11" fillId="0" borderId="1" xfId="0" applyFont="1" applyFill="1" applyBorder="1" applyAlignment="1" applyProtection="1">
      <alignment horizontal="left" vertical="center" wrapText="1"/>
    </xf>
    <xf numFmtId="0" fontId="11" fillId="0" borderId="3" xfId="0" applyFont="1" applyFill="1" applyBorder="1" applyAlignment="1" applyProtection="1">
      <alignment horizontal="left" vertical="center" wrapText="1"/>
    </xf>
    <xf numFmtId="0" fontId="23" fillId="12" borderId="0" xfId="0" applyFont="1" applyFill="1" applyBorder="1" applyAlignment="1" applyProtection="1">
      <alignment horizontal="right"/>
    </xf>
    <xf numFmtId="0" fontId="11" fillId="0" borderId="12" xfId="0" applyFont="1" applyFill="1" applyBorder="1" applyAlignment="1" applyProtection="1">
      <alignment horizontal="left"/>
    </xf>
    <xf numFmtId="0" fontId="11" fillId="0" borderId="1" xfId="0" applyFont="1" applyFill="1" applyBorder="1" applyAlignment="1" applyProtection="1">
      <alignment horizontal="left"/>
    </xf>
    <xf numFmtId="0" fontId="11" fillId="0" borderId="11" xfId="0" applyFont="1" applyFill="1" applyBorder="1" applyAlignment="1" applyProtection="1">
      <alignment horizontal="left"/>
    </xf>
    <xf numFmtId="14" fontId="11" fillId="0" borderId="12" xfId="0" applyNumberFormat="1" applyFont="1" applyFill="1" applyBorder="1" applyAlignment="1" applyProtection="1">
      <alignment horizontal="left"/>
    </xf>
    <xf numFmtId="14" fontId="11" fillId="0" borderId="1" xfId="0" applyNumberFormat="1" applyFont="1" applyFill="1" applyBorder="1" applyAlignment="1" applyProtection="1">
      <alignment horizontal="left"/>
    </xf>
    <xf numFmtId="0" fontId="26" fillId="12" borderId="0" xfId="0" applyFont="1" applyFill="1" applyBorder="1" applyAlignment="1" applyProtection="1">
      <alignment horizontal="center"/>
    </xf>
    <xf numFmtId="0" fontId="37" fillId="12" borderId="50" xfId="0" applyFont="1" applyFill="1" applyBorder="1" applyAlignment="1" applyProtection="1">
      <alignment horizontal="center"/>
    </xf>
    <xf numFmtId="0" fontId="37" fillId="12" borderId="51" xfId="0" applyFont="1" applyFill="1" applyBorder="1" applyAlignment="1" applyProtection="1">
      <alignment horizontal="center"/>
    </xf>
    <xf numFmtId="0" fontId="6" fillId="0" borderId="1" xfId="0" applyFont="1" applyFill="1" applyBorder="1" applyProtection="1"/>
    <xf numFmtId="0" fontId="0" fillId="0" borderId="9" xfId="0" applyFill="1" applyBorder="1" applyProtection="1"/>
    <xf numFmtId="0" fontId="0" fillId="0" borderId="10" xfId="0" applyFill="1" applyBorder="1" applyProtection="1"/>
    <xf numFmtId="0" fontId="0" fillId="0" borderId="6" xfId="0" applyFill="1" applyBorder="1" applyProtection="1"/>
    <xf numFmtId="0" fontId="23" fillId="12" borderId="0" xfId="0" applyFont="1" applyFill="1" applyBorder="1" applyAlignment="1" applyProtection="1">
      <alignment horizontal="right" vertical="center"/>
    </xf>
    <xf numFmtId="0" fontId="9" fillId="12" borderId="0" xfId="0" applyFont="1" applyFill="1" applyAlignment="1" applyProtection="1">
      <alignment horizontal="center"/>
    </xf>
    <xf numFmtId="0" fontId="15" fillId="0" borderId="0" xfId="0" applyFont="1" applyBorder="1" applyAlignment="1" applyProtection="1">
      <alignment horizontal="center"/>
    </xf>
    <xf numFmtId="0" fontId="15" fillId="0" borderId="10" xfId="0" applyFont="1" applyBorder="1" applyAlignment="1" applyProtection="1">
      <alignment horizontal="center"/>
    </xf>
    <xf numFmtId="0" fontId="26" fillId="12" borderId="10" xfId="0" applyFont="1" applyFill="1" applyBorder="1" applyAlignment="1" applyProtection="1">
      <alignment horizontal="right"/>
    </xf>
    <xf numFmtId="0" fontId="26" fillId="12" borderId="10" xfId="0" applyFont="1" applyFill="1" applyBorder="1" applyAlignment="1" applyProtection="1"/>
    <xf numFmtId="0" fontId="0" fillId="0" borderId="11" xfId="0" applyFill="1" applyBorder="1" applyAlignment="1" applyProtection="1">
      <alignment horizontal="left"/>
    </xf>
    <xf numFmtId="0" fontId="0" fillId="0" borderId="13" xfId="0" applyFill="1" applyBorder="1" applyAlignment="1" applyProtection="1">
      <alignment horizontal="left"/>
    </xf>
    <xf numFmtId="0" fontId="0" fillId="0" borderId="12" xfId="0" applyFill="1" applyBorder="1" applyAlignment="1" applyProtection="1">
      <alignment horizontal="left"/>
    </xf>
    <xf numFmtId="0" fontId="6" fillId="0" borderId="11" xfId="0" applyFont="1" applyFill="1" applyBorder="1" applyAlignment="1" applyProtection="1"/>
    <xf numFmtId="0" fontId="6" fillId="0" borderId="13" xfId="0" applyFont="1" applyFill="1" applyBorder="1" applyAlignment="1" applyProtection="1"/>
    <xf numFmtId="0" fontId="4" fillId="12" borderId="0" xfId="0" applyFont="1" applyFill="1" applyBorder="1" applyAlignment="1" applyProtection="1">
      <alignment horizontal="center"/>
    </xf>
    <xf numFmtId="0" fontId="4" fillId="12" borderId="10" xfId="0" applyFont="1" applyFill="1" applyBorder="1" applyAlignment="1" applyProtection="1">
      <alignment horizontal="center"/>
    </xf>
    <xf numFmtId="0" fontId="26" fillId="12" borderId="0" xfId="0" applyFont="1" applyFill="1" applyBorder="1" applyAlignment="1" applyProtection="1">
      <alignment horizontal="left" vertical="center"/>
    </xf>
    <xf numFmtId="0" fontId="26" fillId="12" borderId="51" xfId="0" applyFont="1" applyFill="1" applyBorder="1" applyAlignment="1" applyProtection="1">
      <alignment horizontal="left" vertical="center"/>
    </xf>
    <xf numFmtId="0" fontId="26" fillId="12" borderId="10" xfId="0" applyFont="1" applyFill="1" applyBorder="1" applyAlignment="1" applyProtection="1">
      <alignment horizontal="left" vertical="center"/>
    </xf>
    <xf numFmtId="0" fontId="26" fillId="12" borderId="53" xfId="0" applyFont="1" applyFill="1" applyBorder="1" applyAlignment="1" applyProtection="1">
      <alignment horizontal="left" vertical="center"/>
    </xf>
    <xf numFmtId="0" fontId="6" fillId="0" borderId="1" xfId="0" applyFont="1" applyFill="1" applyBorder="1" applyAlignment="1" applyProtection="1">
      <alignment horizontal="left"/>
    </xf>
    <xf numFmtId="0" fontId="23" fillId="2" borderId="0" xfId="0" applyFont="1" applyFill="1" applyAlignment="1">
      <alignment horizontal="center"/>
    </xf>
    <xf numFmtId="0" fontId="12" fillId="0" borderId="0" xfId="0" applyFont="1" applyAlignment="1">
      <alignment horizontal="center" vertical="top"/>
    </xf>
    <xf numFmtId="0" fontId="18" fillId="0" borderId="19" xfId="0" applyFont="1" applyBorder="1"/>
    <xf numFmtId="0" fontId="18" fillId="0" borderId="5" xfId="0" applyFont="1" applyBorder="1"/>
    <xf numFmtId="0" fontId="5" fillId="8" borderId="54" xfId="0" applyFont="1" applyFill="1" applyBorder="1" applyAlignment="1">
      <alignment horizontal="center" wrapText="1"/>
    </xf>
    <xf numFmtId="0" fontId="5" fillId="8" borderId="0" xfId="0" applyFont="1" applyFill="1" applyBorder="1" applyAlignment="1">
      <alignment horizontal="center" wrapText="1"/>
    </xf>
    <xf numFmtId="0" fontId="5" fillId="8" borderId="58" xfId="0" applyFont="1" applyFill="1" applyBorder="1" applyAlignment="1">
      <alignment horizontal="center" wrapText="1"/>
    </xf>
    <xf numFmtId="0" fontId="5" fillId="8" borderId="39" xfId="0" applyFont="1" applyFill="1" applyBorder="1" applyAlignment="1">
      <alignment horizontal="center" wrapText="1"/>
    </xf>
    <xf numFmtId="0" fontId="5" fillId="8" borderId="10" xfId="0" applyFont="1" applyFill="1" applyBorder="1" applyAlignment="1">
      <alignment horizontal="center" wrapText="1"/>
    </xf>
    <xf numFmtId="0" fontId="5" fillId="8" borderId="40" xfId="0" applyFont="1" applyFill="1" applyBorder="1" applyAlignment="1">
      <alignment horizontal="center" wrapText="1"/>
    </xf>
    <xf numFmtId="0" fontId="22" fillId="0" borderId="0" xfId="0" applyFont="1" applyFill="1" applyAlignment="1">
      <alignment horizontal="left"/>
    </xf>
    <xf numFmtId="0" fontId="21" fillId="0" borderId="0" xfId="0" applyFont="1" applyFill="1" applyAlignment="1">
      <alignment horizontal="left"/>
    </xf>
    <xf numFmtId="0" fontId="18" fillId="7" borderId="33" xfId="0" applyFont="1" applyFill="1" applyBorder="1" applyAlignment="1">
      <alignment horizontal="center" wrapText="1"/>
    </xf>
    <xf numFmtId="0" fontId="18" fillId="7" borderId="54" xfId="0" applyFont="1" applyFill="1" applyBorder="1" applyAlignment="1">
      <alignment horizontal="center" wrapText="1"/>
    </xf>
    <xf numFmtId="0" fontId="18" fillId="7" borderId="39" xfId="0" applyFont="1" applyFill="1" applyBorder="1" applyAlignment="1">
      <alignment horizontal="center" wrapText="1"/>
    </xf>
    <xf numFmtId="0" fontId="11" fillId="7" borderId="33" xfId="0" applyFont="1" applyFill="1" applyBorder="1" applyAlignment="1">
      <alignment horizontal="center" vertical="center"/>
    </xf>
    <xf numFmtId="0" fontId="11" fillId="7" borderId="7" xfId="0" applyFont="1" applyFill="1" applyBorder="1" applyAlignment="1">
      <alignment horizontal="center" vertical="center"/>
    </xf>
    <xf numFmtId="0" fontId="11" fillId="7" borderId="34" xfId="0" applyFont="1" applyFill="1" applyBorder="1" applyAlignment="1">
      <alignment horizontal="center" vertical="center"/>
    </xf>
    <xf numFmtId="0" fontId="11" fillId="7" borderId="39" xfId="0" applyFont="1" applyFill="1" applyBorder="1" applyAlignment="1">
      <alignment horizontal="center" vertical="center"/>
    </xf>
    <xf numFmtId="0" fontId="11" fillId="7" borderId="10" xfId="0" applyFont="1" applyFill="1" applyBorder="1" applyAlignment="1">
      <alignment horizontal="center" vertical="center"/>
    </xf>
    <xf numFmtId="0" fontId="11" fillId="7" borderId="40" xfId="0" applyFont="1" applyFill="1" applyBorder="1" applyAlignment="1">
      <alignment horizontal="center" vertical="center"/>
    </xf>
    <xf numFmtId="0" fontId="20" fillId="7" borderId="38" xfId="0" applyFont="1" applyFill="1" applyBorder="1" applyAlignment="1">
      <alignment horizontal="center" wrapText="1"/>
    </xf>
    <xf numFmtId="0" fontId="20" fillId="7" borderId="55" xfId="0" applyFont="1" applyFill="1" applyBorder="1" applyAlignment="1">
      <alignment horizontal="center" wrapText="1"/>
    </xf>
    <xf numFmtId="0" fontId="20" fillId="7" borderId="41" xfId="0" applyFont="1" applyFill="1" applyBorder="1" applyAlignment="1">
      <alignment horizontal="center" wrapText="1"/>
    </xf>
    <xf numFmtId="0" fontId="0" fillId="0" borderId="0" xfId="0" applyAlignment="1"/>
    <xf numFmtId="0" fontId="0" fillId="0" borderId="0" xfId="0"/>
    <xf numFmtId="0" fontId="8" fillId="0" borderId="0" xfId="0" applyFont="1" applyAlignment="1">
      <alignment horizontal="left"/>
    </xf>
    <xf numFmtId="0" fontId="20" fillId="7" borderId="21" xfId="0" applyFont="1" applyFill="1" applyBorder="1" applyAlignment="1">
      <alignment horizontal="center"/>
    </xf>
    <xf numFmtId="0" fontId="20" fillId="7" borderId="3" xfId="0" applyFont="1" applyFill="1" applyBorder="1" applyAlignment="1">
      <alignment horizontal="center"/>
    </xf>
    <xf numFmtId="0" fontId="20" fillId="7" borderId="19" xfId="0" applyFont="1" applyFill="1" applyBorder="1" applyAlignment="1">
      <alignment horizontal="center"/>
    </xf>
    <xf numFmtId="0" fontId="0" fillId="0" borderId="0" xfId="0" applyAlignment="1">
      <alignment horizontal="left"/>
    </xf>
    <xf numFmtId="0" fontId="18" fillId="0" borderId="0" xfId="0" applyFont="1"/>
    <xf numFmtId="0" fontId="18" fillId="7" borderId="38" xfId="0" applyFont="1" applyFill="1" applyBorder="1" applyAlignment="1">
      <alignment horizontal="center" wrapText="1"/>
    </xf>
    <xf numFmtId="0" fontId="18" fillId="7" borderId="55" xfId="0" applyFont="1" applyFill="1" applyBorder="1" applyAlignment="1">
      <alignment horizontal="center" wrapText="1"/>
    </xf>
    <xf numFmtId="0" fontId="18" fillId="7" borderId="41" xfId="0" applyFont="1" applyFill="1" applyBorder="1" applyAlignment="1">
      <alignment horizontal="center" wrapText="1"/>
    </xf>
    <xf numFmtId="0" fontId="7" fillId="8" borderId="5" xfId="0" applyFont="1" applyFill="1" applyBorder="1" applyAlignment="1">
      <alignment horizontal="left" wrapText="1"/>
    </xf>
    <xf numFmtId="0" fontId="7" fillId="8" borderId="2" xfId="0" applyFont="1" applyFill="1" applyBorder="1" applyAlignment="1">
      <alignment horizontal="left" wrapText="1"/>
    </xf>
    <xf numFmtId="0" fontId="7" fillId="8" borderId="37" xfId="0" applyFont="1" applyFill="1" applyBorder="1" applyAlignment="1">
      <alignment horizontal="left" wrapText="1"/>
    </xf>
    <xf numFmtId="0" fontId="7" fillId="0" borderId="39" xfId="0" applyFont="1" applyBorder="1" applyAlignment="1">
      <alignment horizontal="left"/>
    </xf>
    <xf numFmtId="0" fontId="7" fillId="0" borderId="10" xfId="0" applyFont="1" applyBorder="1" applyAlignment="1">
      <alignment horizontal="left"/>
    </xf>
    <xf numFmtId="0" fontId="7" fillId="0" borderId="35" xfId="0" applyFont="1" applyBorder="1" applyAlignment="1">
      <alignment horizontal="left"/>
    </xf>
    <xf numFmtId="0" fontId="7" fillId="0" borderId="36" xfId="0" applyFont="1" applyBorder="1" applyAlignment="1">
      <alignment horizontal="left"/>
    </xf>
    <xf numFmtId="0" fontId="18" fillId="7" borderId="19" xfId="0" applyFont="1" applyFill="1" applyBorder="1" applyAlignment="1">
      <alignment horizontal="center"/>
    </xf>
    <xf numFmtId="0" fontId="18" fillId="7" borderId="34" xfId="0" applyFont="1" applyFill="1" applyBorder="1" applyAlignment="1">
      <alignment horizontal="center"/>
    </xf>
    <xf numFmtId="0" fontId="21" fillId="0" borderId="0" xfId="0" applyFont="1" applyFill="1" applyAlignment="1">
      <alignment horizontal="center"/>
    </xf>
    <xf numFmtId="164" fontId="0" fillId="0" borderId="25" xfId="0" applyNumberFormat="1" applyBorder="1" applyAlignment="1">
      <alignment horizontal="center"/>
    </xf>
    <xf numFmtId="164" fontId="0" fillId="0" borderId="26" xfId="0" applyNumberFormat="1" applyBorder="1" applyAlignment="1">
      <alignment horizontal="center"/>
    </xf>
    <xf numFmtId="0" fontId="20" fillId="7" borderId="33" xfId="0" applyFont="1" applyFill="1" applyBorder="1" applyAlignment="1">
      <alignment horizontal="center" wrapText="1"/>
    </xf>
    <xf numFmtId="0" fontId="20" fillId="7" borderId="34" xfId="0" applyFont="1" applyFill="1" applyBorder="1" applyAlignment="1">
      <alignment horizontal="center" wrapText="1"/>
    </xf>
    <xf numFmtId="0" fontId="20" fillId="7" borderId="39" xfId="0" applyFont="1" applyFill="1" applyBorder="1" applyAlignment="1">
      <alignment horizontal="center" wrapText="1"/>
    </xf>
    <xf numFmtId="0" fontId="20" fillId="7" borderId="40" xfId="0" applyFont="1" applyFill="1" applyBorder="1" applyAlignment="1">
      <alignment horizontal="center" wrapText="1"/>
    </xf>
    <xf numFmtId="0" fontId="20" fillId="7" borderId="5" xfId="0" applyFont="1" applyFill="1" applyBorder="1" applyAlignment="1">
      <alignment horizontal="center" wrapText="1"/>
    </xf>
    <xf numFmtId="0" fontId="20" fillId="7" borderId="6" xfId="0" applyFont="1" applyFill="1" applyBorder="1" applyAlignment="1">
      <alignment horizontal="center" wrapText="1"/>
    </xf>
    <xf numFmtId="0" fontId="6" fillId="0" borderId="1" xfId="0" applyFont="1" applyFill="1" applyBorder="1" applyAlignment="1" applyProtection="1">
      <alignment horizontal="left" vertical="top" wrapText="1"/>
    </xf>
  </cellXfs>
  <cellStyles count="1">
    <cellStyle name="Normal" xfId="0" builtinId="0"/>
  </cellStyles>
  <dxfs count="75">
    <dxf>
      <font>
        <color theme="0"/>
      </font>
      <fill>
        <patternFill>
          <bgColor theme="1"/>
        </patternFill>
      </fill>
    </dxf>
    <dxf>
      <font>
        <color theme="0"/>
      </font>
      <fill>
        <patternFill>
          <bgColor theme="1" tint="4.9989318521683403E-2"/>
        </patternFill>
      </fill>
    </dxf>
    <dxf>
      <font>
        <color rgb="FFFF0000"/>
      </font>
    </dxf>
    <dxf>
      <font>
        <color rgb="FFFF0000"/>
      </font>
    </dxf>
    <dxf>
      <font>
        <color rgb="FFFF0000"/>
      </font>
    </dxf>
    <dxf>
      <fill>
        <patternFill>
          <bgColor theme="0" tint="-0.24994659260841701"/>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ill>
        <patternFill>
          <bgColor theme="0" tint="-0.24994659260841701"/>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ill>
        <patternFill>
          <bgColor theme="0" tint="-0.24994659260841701"/>
        </patternFill>
      </fill>
    </dxf>
    <dxf>
      <font>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patternFill>
          <bgColor theme="0" tint="-0.24994659260841701"/>
        </patternFill>
      </fill>
    </dxf>
    <dxf>
      <font>
        <b/>
        <i val="0"/>
        <color rgb="FFFFFF00"/>
      </font>
      <fill>
        <patternFill>
          <bgColor rgb="FFFF0000"/>
        </patternFill>
      </fill>
    </dxf>
    <dxf>
      <fill>
        <patternFill>
          <bgColor theme="0" tint="-0.24994659260841701"/>
        </patternFill>
      </fill>
    </dxf>
    <dxf>
      <font>
        <b/>
        <i val="0"/>
        <color rgb="FFFFFF00"/>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FFFF00"/>
      </font>
      <fill>
        <patternFill>
          <bgColor rgb="FFFF0000"/>
        </patternFill>
      </fill>
    </dxf>
    <dxf>
      <fill>
        <patternFill>
          <bgColor theme="0" tint="-0.24994659260841701"/>
        </patternFill>
      </fill>
    </dxf>
    <dxf>
      <font>
        <b/>
        <i val="0"/>
        <color rgb="FFFFFF00"/>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FF0000"/>
      </font>
    </dxf>
    <dxf>
      <font>
        <color rgb="FFFF0000"/>
      </font>
    </dxf>
    <dxf>
      <font>
        <b/>
        <i val="0"/>
        <color rgb="FFFF0000"/>
      </font>
      <fill>
        <patternFill>
          <bgColor theme="9"/>
        </patternFill>
      </fill>
    </dxf>
    <dxf>
      <font>
        <color rgb="FFFF0000"/>
      </font>
      <fill>
        <patternFill>
          <bgColor rgb="FF00FF00"/>
        </patternFill>
      </fill>
    </dxf>
    <dxf>
      <font>
        <b/>
        <i val="0"/>
        <color rgb="FFFF0000"/>
      </font>
      <fill>
        <patternFill>
          <bgColor rgb="FF00FF00"/>
        </patternFill>
      </fill>
    </dxf>
    <dxf>
      <font>
        <b/>
        <i val="0"/>
        <color rgb="FFFF0000"/>
      </font>
      <fill>
        <patternFill>
          <bgColor rgb="FF00FF00"/>
        </patternFill>
      </fill>
    </dxf>
    <dxf>
      <font>
        <b/>
        <i val="0"/>
        <color rgb="FFFF0000"/>
      </font>
      <fill>
        <patternFill>
          <bgColor rgb="FF00FF00"/>
        </patternFill>
      </fill>
    </dxf>
    <dxf>
      <font>
        <b/>
        <i val="0"/>
        <color rgb="FFFF0000"/>
      </font>
      <fill>
        <patternFill>
          <bgColor rgb="FF00FF00"/>
        </patternFill>
      </fill>
    </dxf>
    <dxf>
      <font>
        <b/>
        <i val="0"/>
        <color rgb="FFFF0000"/>
      </font>
      <fill>
        <patternFill>
          <bgColor rgb="FF00FF00"/>
        </patternFill>
      </fill>
    </dxf>
    <dxf>
      <font>
        <b/>
        <i val="0"/>
        <color rgb="FFFF0000"/>
      </font>
      <fill>
        <patternFill>
          <bgColor rgb="FF00FF00"/>
        </patternFill>
      </fill>
    </dxf>
    <dxf>
      <font>
        <b/>
        <i val="0"/>
        <color rgb="FFFF0000"/>
      </font>
      <fill>
        <patternFill>
          <bgColor rgb="FF00FF00"/>
        </patternFill>
      </fill>
    </dxf>
    <dxf>
      <font>
        <b/>
        <i val="0"/>
        <color rgb="FFFF0000"/>
      </font>
      <fill>
        <patternFill>
          <bgColor rgb="FF00FF00"/>
        </patternFill>
      </fill>
    </dxf>
  </dxfs>
  <tableStyles count="0" defaultTableStyle="TableStyleMedium9" defaultPivotStyle="PivotStyleLight16"/>
  <colors>
    <mruColors>
      <color rgb="FF00FF00"/>
      <color rgb="FFFFFFCC"/>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28</xdr:col>
      <xdr:colOff>190500</xdr:colOff>
      <xdr:row>0</xdr:row>
      <xdr:rowOff>57150</xdr:rowOff>
    </xdr:from>
    <xdr:to>
      <xdr:col>34</xdr:col>
      <xdr:colOff>381000</xdr:colOff>
      <xdr:row>0</xdr:row>
      <xdr:rowOff>333375</xdr:rowOff>
    </xdr:to>
    <xdr:sp macro="[0]!ResetInteractiveForm" textlink="">
      <xdr:nvSpPr>
        <xdr:cNvPr id="3" name="TextBox 2"/>
        <xdr:cNvSpPr txBox="1"/>
      </xdr:nvSpPr>
      <xdr:spPr>
        <a:xfrm>
          <a:off x="11382375" y="57150"/>
          <a:ext cx="2590800" cy="276225"/>
        </a:xfrm>
        <a:prstGeom prst="rect">
          <a:avLst/>
        </a:prstGeom>
        <a:solidFill>
          <a:schemeClr val="bg1">
            <a:lumMod val="65000"/>
          </a:schemeClr>
        </a:solidFill>
        <a:ln/>
      </xdr:spPr>
      <xdr:style>
        <a:lnRef idx="0">
          <a:schemeClr val="accent1"/>
        </a:lnRef>
        <a:fillRef idx="3">
          <a:schemeClr val="accent1"/>
        </a:fillRef>
        <a:effectRef idx="3">
          <a:schemeClr val="accent1"/>
        </a:effectRef>
        <a:fontRef idx="minor">
          <a:schemeClr val="lt1"/>
        </a:fontRef>
      </xdr:style>
      <xdr:txBody>
        <a:bodyPr vertOverflow="clip" wrap="square" rtlCol="0" anchor="t"/>
        <a:lstStyle/>
        <a:p>
          <a:pPr algn="ctr"/>
          <a:r>
            <a:rPr lang="en-US" sz="1100" b="1">
              <a:solidFill>
                <a:sysClr val="windowText" lastClr="000000"/>
              </a:solidFill>
              <a:latin typeface="Microsoft Sans Serif" pitchFamily="34" charset="0"/>
              <a:cs typeface="Microsoft Sans Serif" pitchFamily="34" charset="0"/>
            </a:rPr>
            <a:t>RESET</a:t>
          </a:r>
          <a:r>
            <a:rPr lang="en-US" sz="1100" b="1" baseline="0">
              <a:solidFill>
                <a:sysClr val="windowText" lastClr="000000"/>
              </a:solidFill>
              <a:latin typeface="Microsoft Sans Serif" pitchFamily="34" charset="0"/>
              <a:cs typeface="Microsoft Sans Serif" pitchFamily="34" charset="0"/>
            </a:rPr>
            <a:t> FORM TO DEFAULTS</a:t>
          </a:r>
          <a:endParaRPr lang="en-US" sz="1100" b="1">
            <a:solidFill>
              <a:sysClr val="windowText" lastClr="000000"/>
            </a:solidFill>
            <a:latin typeface="Microsoft Sans Serif" pitchFamily="34" charset="0"/>
            <a:cs typeface="Microsoft Sans Serif"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T78"/>
  <sheetViews>
    <sheetView showGridLines="0" tabSelected="1" zoomScaleNormal="100" workbookViewId="0">
      <selection activeCell="D3" sqref="D3"/>
    </sheetView>
  </sheetViews>
  <sheetFormatPr defaultRowHeight="15" x14ac:dyDescent="0.25"/>
  <cols>
    <col min="1" max="9" width="6" style="37" customWidth="1"/>
    <col min="10" max="10" width="6" style="37" bestFit="1" customWidth="1"/>
    <col min="11" max="17" width="6" style="37" customWidth="1"/>
    <col min="18" max="18" width="5.85546875" style="37" bestFit="1" customWidth="1"/>
    <col min="19" max="43" width="6" style="37" customWidth="1"/>
    <col min="44" max="44" width="9.140625" style="37"/>
    <col min="45" max="45" width="9.140625" style="37" customWidth="1"/>
    <col min="46" max="16384" width="9.140625" style="37"/>
  </cols>
  <sheetData>
    <row r="1" spans="1:46" ht="32.25" x14ac:dyDescent="0.4">
      <c r="A1" s="176" t="s">
        <v>87</v>
      </c>
      <c r="B1" s="176"/>
      <c r="C1" s="176"/>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row>
    <row r="2" spans="1:46" ht="12" customHeight="1" x14ac:dyDescent="0.3">
      <c r="A2" s="249" t="s">
        <v>224</v>
      </c>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83"/>
      <c r="AM2" s="83"/>
      <c r="AN2" s="83"/>
      <c r="AO2" s="83"/>
      <c r="AP2" s="83"/>
      <c r="AQ2" s="83"/>
    </row>
    <row r="3" spans="1:46" x14ac:dyDescent="0.25">
      <c r="A3" s="191" t="s">
        <v>139</v>
      </c>
      <c r="B3" s="192"/>
      <c r="C3" s="193"/>
      <c r="D3" s="111"/>
      <c r="E3" s="191" t="s">
        <v>138</v>
      </c>
      <c r="F3" s="193"/>
      <c r="G3" s="182"/>
      <c r="H3" s="183"/>
      <c r="I3" s="183"/>
      <c r="J3" s="183"/>
      <c r="K3" s="183"/>
      <c r="L3" s="183"/>
      <c r="M3" s="183"/>
      <c r="N3" s="183"/>
      <c r="O3" s="183"/>
      <c r="P3" s="183"/>
      <c r="Q3" s="183"/>
      <c r="R3" s="183"/>
      <c r="S3" s="183"/>
      <c r="T3" s="183"/>
      <c r="U3" s="183"/>
      <c r="V3" s="183"/>
      <c r="W3" s="183"/>
      <c r="X3" s="183"/>
      <c r="Y3" s="183"/>
      <c r="Z3" s="183"/>
      <c r="AA3" s="183"/>
      <c r="AB3" s="184"/>
      <c r="AC3" s="185" t="s">
        <v>140</v>
      </c>
      <c r="AD3" s="186"/>
      <c r="AE3" s="182"/>
      <c r="AF3" s="183"/>
      <c r="AG3" s="183"/>
      <c r="AH3" s="183"/>
      <c r="AI3" s="183"/>
      <c r="AJ3" s="183"/>
      <c r="AK3" s="183"/>
      <c r="AL3" s="184"/>
      <c r="AM3" s="88" t="s">
        <v>141</v>
      </c>
      <c r="AN3" s="179"/>
      <c r="AO3" s="180"/>
      <c r="AP3" s="180"/>
      <c r="AQ3" s="181"/>
    </row>
    <row r="4" spans="1:46" s="67" customFormat="1" ht="13.5" x14ac:dyDescent="0.25">
      <c r="A4" s="187" t="s">
        <v>92</v>
      </c>
      <c r="B4" s="188"/>
      <c r="C4" s="188"/>
      <c r="D4" s="188"/>
      <c r="E4" s="188"/>
      <c r="F4" s="188"/>
      <c r="G4" s="188"/>
      <c r="H4" s="188"/>
      <c r="I4" s="188"/>
      <c r="J4" s="172">
        <v>1</v>
      </c>
      <c r="K4" s="173">
        <v>2</v>
      </c>
      <c r="L4" s="172">
        <v>3</v>
      </c>
      <c r="M4" s="173">
        <v>4</v>
      </c>
      <c r="N4" s="172">
        <v>5</v>
      </c>
      <c r="O4" s="173">
        <v>6</v>
      </c>
      <c r="P4" s="172">
        <v>7</v>
      </c>
      <c r="Q4" s="173">
        <v>8</v>
      </c>
      <c r="R4" s="87"/>
      <c r="S4" s="189" t="s">
        <v>5</v>
      </c>
      <c r="T4" s="190"/>
      <c r="U4" s="190"/>
      <c r="V4" s="190"/>
      <c r="W4" s="190"/>
      <c r="X4" s="190"/>
      <c r="Y4" s="190"/>
      <c r="Z4" s="190"/>
      <c r="AA4" s="190"/>
      <c r="AB4" s="190"/>
      <c r="AC4" s="190"/>
      <c r="AD4" s="190"/>
      <c r="AE4" s="190"/>
      <c r="AF4" s="190"/>
      <c r="AG4" s="190"/>
      <c r="AH4" s="190"/>
      <c r="AI4" s="190"/>
      <c r="AJ4" s="190"/>
      <c r="AK4" s="190"/>
      <c r="AL4" s="190"/>
      <c r="AM4" s="190"/>
      <c r="AN4" s="190"/>
      <c r="AO4" s="190"/>
      <c r="AP4" s="190"/>
      <c r="AQ4" s="190"/>
    </row>
    <row r="5" spans="1:46" x14ac:dyDescent="0.25">
      <c r="A5" s="250" t="s">
        <v>95</v>
      </c>
      <c r="B5" s="251"/>
      <c r="C5" s="251"/>
      <c r="D5" s="251"/>
      <c r="E5" s="251"/>
      <c r="F5" s="251"/>
      <c r="G5" s="251"/>
      <c r="H5" s="251"/>
      <c r="I5" s="252"/>
      <c r="J5" s="95"/>
      <c r="K5" s="160"/>
      <c r="L5" s="95"/>
      <c r="M5" s="160"/>
      <c r="N5" s="95"/>
      <c r="O5" s="160"/>
      <c r="P5" s="95"/>
      <c r="Q5" s="160"/>
      <c r="R5" s="82" t="s">
        <v>2</v>
      </c>
      <c r="S5" s="204" t="s">
        <v>35</v>
      </c>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6"/>
    </row>
    <row r="6" spans="1:46" x14ac:dyDescent="0.25">
      <c r="A6" s="196" t="s">
        <v>85</v>
      </c>
      <c r="B6" s="197"/>
      <c r="C6" s="197"/>
      <c r="D6" s="197"/>
      <c r="E6" s="197"/>
      <c r="F6" s="197"/>
      <c r="G6" s="197"/>
      <c r="H6" s="197"/>
      <c r="I6" s="198"/>
      <c r="J6" s="96"/>
      <c r="K6" s="50"/>
      <c r="L6" s="96"/>
      <c r="M6" s="50"/>
      <c r="N6" s="96"/>
      <c r="O6" s="50"/>
      <c r="P6" s="96"/>
      <c r="Q6" s="50"/>
      <c r="R6" s="82" t="s">
        <v>2</v>
      </c>
      <c r="S6" s="204" t="s">
        <v>38</v>
      </c>
      <c r="T6" s="205"/>
      <c r="U6" s="205"/>
      <c r="V6" s="205"/>
      <c r="W6" s="205"/>
      <c r="X6" s="205"/>
      <c r="Y6" s="205"/>
      <c r="Z6" s="205"/>
      <c r="AA6" s="205"/>
      <c r="AB6" s="205"/>
      <c r="AC6" s="205"/>
      <c r="AD6" s="205"/>
      <c r="AE6" s="205"/>
      <c r="AF6" s="205"/>
      <c r="AG6" s="205"/>
      <c r="AH6" s="205"/>
      <c r="AI6" s="205"/>
      <c r="AJ6" s="205"/>
      <c r="AK6" s="205"/>
      <c r="AL6" s="205"/>
      <c r="AM6" s="205"/>
      <c r="AN6" s="205"/>
      <c r="AO6" s="205"/>
      <c r="AP6" s="205"/>
      <c r="AQ6" s="206"/>
    </row>
    <row r="7" spans="1:46" x14ac:dyDescent="0.25">
      <c r="A7" s="196" t="s">
        <v>6</v>
      </c>
      <c r="B7" s="197"/>
      <c r="C7" s="197"/>
      <c r="D7" s="197"/>
      <c r="E7" s="197"/>
      <c r="F7" s="197"/>
      <c r="G7" s="197"/>
      <c r="H7" s="197"/>
      <c r="I7" s="198"/>
      <c r="J7" s="96"/>
      <c r="K7" s="50"/>
      <c r="L7" s="96"/>
      <c r="M7" s="50"/>
      <c r="N7" s="96"/>
      <c r="O7" s="50"/>
      <c r="P7" s="96"/>
      <c r="Q7" s="50"/>
      <c r="R7" s="82" t="s">
        <v>0</v>
      </c>
      <c r="S7" s="204"/>
      <c r="T7" s="205"/>
      <c r="U7" s="205"/>
      <c r="V7" s="205"/>
      <c r="W7" s="205"/>
      <c r="X7" s="205"/>
      <c r="Y7" s="205"/>
      <c r="Z7" s="205"/>
      <c r="AA7" s="205"/>
      <c r="AB7" s="205"/>
      <c r="AC7" s="205"/>
      <c r="AD7" s="205"/>
      <c r="AE7" s="205"/>
      <c r="AF7" s="205"/>
      <c r="AG7" s="205"/>
      <c r="AH7" s="205"/>
      <c r="AI7" s="205"/>
      <c r="AJ7" s="205"/>
      <c r="AK7" s="205"/>
      <c r="AL7" s="205"/>
      <c r="AM7" s="205"/>
      <c r="AN7" s="205"/>
      <c r="AO7" s="205"/>
      <c r="AP7" s="205"/>
      <c r="AQ7" s="206"/>
      <c r="AR7" s="39"/>
      <c r="AS7" s="39"/>
      <c r="AT7" s="39"/>
    </row>
    <row r="8" spans="1:46" x14ac:dyDescent="0.25">
      <c r="A8" s="82"/>
      <c r="B8" s="196" t="s">
        <v>17</v>
      </c>
      <c r="C8" s="197"/>
      <c r="D8" s="197"/>
      <c r="E8" s="197"/>
      <c r="F8" s="197"/>
      <c r="G8" s="197"/>
      <c r="H8" s="197"/>
      <c r="I8" s="198"/>
      <c r="J8" s="96"/>
      <c r="K8" s="51"/>
      <c r="L8" s="96"/>
      <c r="M8" s="51"/>
      <c r="N8" s="96"/>
      <c r="O8" s="51"/>
      <c r="P8" s="96"/>
      <c r="Q8" s="51"/>
      <c r="R8" s="82" t="s">
        <v>0</v>
      </c>
      <c r="S8" s="204" t="s">
        <v>8</v>
      </c>
      <c r="T8" s="205"/>
      <c r="U8" s="205"/>
      <c r="V8" s="205"/>
      <c r="W8" s="205"/>
      <c r="X8" s="205"/>
      <c r="Y8" s="205"/>
      <c r="Z8" s="205"/>
      <c r="AA8" s="205"/>
      <c r="AB8" s="205"/>
      <c r="AC8" s="205"/>
      <c r="AD8" s="205"/>
      <c r="AE8" s="205"/>
      <c r="AF8" s="205"/>
      <c r="AG8" s="205"/>
      <c r="AH8" s="205"/>
      <c r="AI8" s="205"/>
      <c r="AJ8" s="205"/>
      <c r="AK8" s="205"/>
      <c r="AL8" s="205"/>
      <c r="AM8" s="205"/>
      <c r="AN8" s="205"/>
      <c r="AO8" s="205"/>
      <c r="AP8" s="205"/>
      <c r="AQ8" s="206"/>
      <c r="AR8" s="39"/>
      <c r="AS8" s="39"/>
      <c r="AT8" s="39"/>
    </row>
    <row r="9" spans="1:46" x14ac:dyDescent="0.25">
      <c r="A9" s="82"/>
      <c r="B9" s="196" t="s">
        <v>3</v>
      </c>
      <c r="C9" s="197"/>
      <c r="D9" s="197"/>
      <c r="E9" s="197"/>
      <c r="F9" s="197"/>
      <c r="G9" s="197"/>
      <c r="H9" s="197"/>
      <c r="I9" s="198"/>
      <c r="J9" s="96"/>
      <c r="K9" s="51"/>
      <c r="L9" s="96"/>
      <c r="M9" s="51"/>
      <c r="N9" s="96"/>
      <c r="O9" s="51"/>
      <c r="P9" s="96"/>
      <c r="Q9" s="51"/>
      <c r="R9" s="82" t="s">
        <v>0</v>
      </c>
      <c r="S9" s="204" t="s">
        <v>8</v>
      </c>
      <c r="T9" s="205"/>
      <c r="U9" s="205"/>
      <c r="V9" s="205"/>
      <c r="W9" s="205"/>
      <c r="X9" s="205"/>
      <c r="Y9" s="205"/>
      <c r="Z9" s="205"/>
      <c r="AA9" s="205"/>
      <c r="AB9" s="205"/>
      <c r="AC9" s="205"/>
      <c r="AD9" s="205"/>
      <c r="AE9" s="205"/>
      <c r="AF9" s="205"/>
      <c r="AG9" s="205"/>
      <c r="AH9" s="205"/>
      <c r="AI9" s="205"/>
      <c r="AJ9" s="205"/>
      <c r="AK9" s="205"/>
      <c r="AL9" s="205"/>
      <c r="AM9" s="205"/>
      <c r="AN9" s="205"/>
      <c r="AO9" s="205"/>
      <c r="AP9" s="205"/>
      <c r="AQ9" s="206"/>
    </row>
    <row r="10" spans="1:46" x14ac:dyDescent="0.25">
      <c r="A10" s="82"/>
      <c r="B10" s="196" t="s">
        <v>4</v>
      </c>
      <c r="C10" s="197"/>
      <c r="D10" s="197"/>
      <c r="E10" s="197"/>
      <c r="F10" s="197"/>
      <c r="G10" s="197"/>
      <c r="H10" s="197"/>
      <c r="I10" s="198"/>
      <c r="J10" s="96"/>
      <c r="K10" s="51"/>
      <c r="L10" s="96"/>
      <c r="M10" s="51"/>
      <c r="N10" s="96"/>
      <c r="O10" s="51"/>
      <c r="P10" s="96"/>
      <c r="Q10" s="51"/>
      <c r="R10" s="82" t="s">
        <v>0</v>
      </c>
      <c r="S10" s="204" t="s">
        <v>8</v>
      </c>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6"/>
    </row>
    <row r="11" spans="1:46" x14ac:dyDescent="0.25">
      <c r="A11" s="196" t="s">
        <v>97</v>
      </c>
      <c r="B11" s="197"/>
      <c r="C11" s="197"/>
      <c r="D11" s="197"/>
      <c r="E11" s="197"/>
      <c r="F11" s="197"/>
      <c r="G11" s="197"/>
      <c r="H11" s="197"/>
      <c r="I11" s="198"/>
      <c r="J11" s="96"/>
      <c r="K11" s="50"/>
      <c r="L11" s="96"/>
      <c r="M11" s="50"/>
      <c r="N11" s="96"/>
      <c r="O11" s="50"/>
      <c r="P11" s="96"/>
      <c r="Q11" s="50"/>
      <c r="R11" s="82"/>
      <c r="S11" s="196" t="s">
        <v>155</v>
      </c>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8"/>
    </row>
    <row r="12" spans="1:46" x14ac:dyDescent="0.25">
      <c r="A12" s="221" t="s">
        <v>98</v>
      </c>
      <c r="B12" s="222"/>
      <c r="C12" s="222"/>
      <c r="D12" s="222"/>
      <c r="E12" s="222"/>
      <c r="F12" s="222"/>
      <c r="G12" s="222"/>
      <c r="H12" s="222"/>
      <c r="I12" s="223"/>
      <c r="J12" s="50"/>
      <c r="K12" s="96"/>
      <c r="L12" s="50"/>
      <c r="M12" s="96"/>
      <c r="N12" s="50"/>
      <c r="O12" s="96"/>
      <c r="P12" s="50"/>
      <c r="Q12" s="96"/>
      <c r="R12" s="70"/>
      <c r="S12" s="207" t="s">
        <v>136</v>
      </c>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9"/>
    </row>
    <row r="13" spans="1:46" x14ac:dyDescent="0.25">
      <c r="A13" s="221" t="s">
        <v>96</v>
      </c>
      <c r="B13" s="222"/>
      <c r="C13" s="222"/>
      <c r="D13" s="222"/>
      <c r="E13" s="222"/>
      <c r="F13" s="222"/>
      <c r="G13" s="222"/>
      <c r="H13" s="222"/>
      <c r="I13" s="223"/>
      <c r="J13" s="50"/>
      <c r="K13" s="96"/>
      <c r="L13" s="50"/>
      <c r="M13" s="96"/>
      <c r="N13" s="50"/>
      <c r="O13" s="96"/>
      <c r="P13" s="50"/>
      <c r="Q13" s="96"/>
      <c r="R13" s="82" t="s">
        <v>2</v>
      </c>
      <c r="S13" s="196" t="s">
        <v>211</v>
      </c>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c r="AP13" s="197"/>
      <c r="AQ13" s="198"/>
    </row>
    <row r="14" spans="1:46" x14ac:dyDescent="0.25">
      <c r="A14" s="196" t="s">
        <v>93</v>
      </c>
      <c r="B14" s="197"/>
      <c r="C14" s="197"/>
      <c r="D14" s="197"/>
      <c r="E14" s="197"/>
      <c r="F14" s="197"/>
      <c r="G14" s="197"/>
      <c r="H14" s="197"/>
      <c r="I14" s="198"/>
      <c r="J14" s="50"/>
      <c r="K14" s="96"/>
      <c r="L14" s="50"/>
      <c r="M14" s="96"/>
      <c r="N14" s="50"/>
      <c r="O14" s="96"/>
      <c r="P14" s="50"/>
      <c r="Q14" s="96"/>
      <c r="R14" s="82" t="s">
        <v>2</v>
      </c>
      <c r="S14" s="196" t="s">
        <v>102</v>
      </c>
      <c r="T14" s="197"/>
      <c r="U14" s="197"/>
      <c r="V14" s="197"/>
      <c r="W14" s="197"/>
      <c r="X14" s="197"/>
      <c r="Y14" s="197"/>
      <c r="Z14" s="197"/>
      <c r="AA14" s="197"/>
      <c r="AB14" s="197"/>
      <c r="AC14" s="197"/>
      <c r="AD14" s="197"/>
      <c r="AE14" s="197"/>
      <c r="AF14" s="197"/>
      <c r="AG14" s="197"/>
      <c r="AH14" s="197"/>
      <c r="AI14" s="197"/>
      <c r="AJ14" s="197"/>
      <c r="AK14" s="197"/>
      <c r="AL14" s="197"/>
      <c r="AM14" s="197"/>
      <c r="AN14" s="197"/>
      <c r="AO14" s="197"/>
      <c r="AP14" s="197"/>
      <c r="AQ14" s="198"/>
    </row>
    <row r="15" spans="1:46" x14ac:dyDescent="0.25">
      <c r="A15" s="221" t="s">
        <v>129</v>
      </c>
      <c r="B15" s="222"/>
      <c r="C15" s="222"/>
      <c r="D15" s="222"/>
      <c r="E15" s="222"/>
      <c r="F15" s="222"/>
      <c r="G15" s="222"/>
      <c r="H15" s="222"/>
      <c r="I15" s="223"/>
      <c r="J15" s="50"/>
      <c r="K15" s="96"/>
      <c r="L15" s="50"/>
      <c r="M15" s="96"/>
      <c r="N15" s="50"/>
      <c r="O15" s="96"/>
      <c r="P15" s="50"/>
      <c r="Q15" s="96"/>
      <c r="R15" s="70"/>
      <c r="S15" s="196" t="s">
        <v>212</v>
      </c>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8"/>
    </row>
    <row r="16" spans="1:46" x14ac:dyDescent="0.25">
      <c r="A16" s="221" t="s">
        <v>103</v>
      </c>
      <c r="B16" s="222"/>
      <c r="C16" s="222"/>
      <c r="D16" s="222"/>
      <c r="E16" s="222"/>
      <c r="F16" s="222"/>
      <c r="G16" s="222"/>
      <c r="H16" s="222"/>
      <c r="I16" s="223"/>
      <c r="J16" s="50"/>
      <c r="K16" s="96"/>
      <c r="L16" s="50"/>
      <c r="M16" s="96"/>
      <c r="N16" s="50"/>
      <c r="O16" s="96"/>
      <c r="P16" s="50"/>
      <c r="Q16" s="96"/>
      <c r="R16" s="70"/>
      <c r="S16" s="196" t="s">
        <v>213</v>
      </c>
      <c r="T16" s="197"/>
      <c r="U16" s="197"/>
      <c r="V16" s="197"/>
      <c r="W16" s="197"/>
      <c r="X16" s="197"/>
      <c r="Y16" s="197"/>
      <c r="Z16" s="197"/>
      <c r="AA16" s="197"/>
      <c r="AB16" s="197"/>
      <c r="AC16" s="197"/>
      <c r="AD16" s="197"/>
      <c r="AE16" s="197"/>
      <c r="AF16" s="197"/>
      <c r="AG16" s="197"/>
      <c r="AH16" s="197"/>
      <c r="AI16" s="197"/>
      <c r="AJ16" s="197"/>
      <c r="AK16" s="197"/>
      <c r="AL16" s="197"/>
      <c r="AM16" s="197"/>
      <c r="AN16" s="197"/>
      <c r="AO16" s="197"/>
      <c r="AP16" s="197"/>
      <c r="AQ16" s="198"/>
    </row>
    <row r="17" spans="1:46" x14ac:dyDescent="0.25">
      <c r="A17" s="221" t="s">
        <v>94</v>
      </c>
      <c r="B17" s="222"/>
      <c r="C17" s="222"/>
      <c r="D17" s="222"/>
      <c r="E17" s="222"/>
      <c r="F17" s="222"/>
      <c r="G17" s="222"/>
      <c r="H17" s="222"/>
      <c r="I17" s="223"/>
      <c r="J17" s="51"/>
      <c r="K17" s="96"/>
      <c r="L17" s="51"/>
      <c r="M17" s="96"/>
      <c r="N17" s="51"/>
      <c r="O17" s="96"/>
      <c r="P17" s="51"/>
      <c r="Q17" s="96"/>
      <c r="R17" s="82" t="s">
        <v>0</v>
      </c>
      <c r="S17" s="196" t="s">
        <v>8</v>
      </c>
      <c r="T17" s="197"/>
      <c r="U17" s="197"/>
      <c r="V17" s="197"/>
      <c r="W17" s="197"/>
      <c r="X17" s="197"/>
      <c r="Y17" s="197"/>
      <c r="Z17" s="197"/>
      <c r="AA17" s="197"/>
      <c r="AB17" s="197"/>
      <c r="AC17" s="197"/>
      <c r="AD17" s="197"/>
      <c r="AE17" s="197"/>
      <c r="AF17" s="197"/>
      <c r="AG17" s="197"/>
      <c r="AH17" s="197"/>
      <c r="AI17" s="197"/>
      <c r="AJ17" s="197"/>
      <c r="AK17" s="197"/>
      <c r="AL17" s="197"/>
      <c r="AM17" s="197"/>
      <c r="AN17" s="197"/>
      <c r="AO17" s="197"/>
      <c r="AP17" s="197"/>
      <c r="AQ17" s="198"/>
    </row>
    <row r="18" spans="1:46" x14ac:dyDescent="0.25">
      <c r="A18" s="55"/>
      <c r="B18" s="55"/>
      <c r="C18" s="55"/>
      <c r="D18" s="55"/>
      <c r="E18" s="55"/>
      <c r="F18" s="55"/>
      <c r="G18" s="55"/>
      <c r="H18" s="55"/>
      <c r="I18" s="55"/>
      <c r="J18" s="55"/>
      <c r="K18" s="55"/>
      <c r="L18" s="55"/>
      <c r="M18" s="55"/>
      <c r="N18" s="55"/>
      <c r="O18" s="55"/>
      <c r="P18" s="55"/>
      <c r="Q18" s="55"/>
      <c r="R18" s="55"/>
      <c r="S18" s="56"/>
      <c r="T18" s="56"/>
      <c r="U18" s="56"/>
      <c r="V18" s="56"/>
      <c r="W18" s="56"/>
      <c r="X18" s="56"/>
      <c r="Y18" s="56"/>
      <c r="Z18" s="56"/>
      <c r="AA18" s="56"/>
      <c r="AB18" s="56"/>
      <c r="AC18" s="56"/>
      <c r="AD18" s="56"/>
      <c r="AE18" s="56"/>
      <c r="AF18" s="56"/>
      <c r="AG18" s="56"/>
      <c r="AH18" s="56"/>
      <c r="AI18" s="56"/>
      <c r="AJ18" s="56"/>
    </row>
    <row r="19" spans="1:46" s="68" customFormat="1" ht="13.5" x14ac:dyDescent="0.25">
      <c r="A19" s="210" t="s">
        <v>92</v>
      </c>
      <c r="B19" s="211"/>
      <c r="C19" s="211"/>
      <c r="D19" s="211"/>
      <c r="E19" s="211"/>
      <c r="F19" s="211"/>
      <c r="G19" s="211"/>
      <c r="H19" s="211"/>
      <c r="I19" s="211"/>
      <c r="J19" s="94">
        <f t="shared" ref="J19:Q19" si="0">J4</f>
        <v>1</v>
      </c>
      <c r="K19" s="94">
        <f t="shared" si="0"/>
        <v>2</v>
      </c>
      <c r="L19" s="94">
        <f t="shared" si="0"/>
        <v>3</v>
      </c>
      <c r="M19" s="94">
        <f t="shared" si="0"/>
        <v>4</v>
      </c>
      <c r="N19" s="94">
        <f t="shared" si="0"/>
        <v>5</v>
      </c>
      <c r="O19" s="94">
        <f t="shared" si="0"/>
        <v>6</v>
      </c>
      <c r="P19" s="94">
        <f t="shared" si="0"/>
        <v>7</v>
      </c>
      <c r="Q19" s="94">
        <f t="shared" si="0"/>
        <v>8</v>
      </c>
      <c r="R19" s="66"/>
      <c r="S19" s="202" t="s">
        <v>7</v>
      </c>
      <c r="T19" s="203"/>
      <c r="U19" s="203"/>
      <c r="V19" s="203"/>
      <c r="W19" s="203"/>
      <c r="X19" s="203"/>
      <c r="Y19" s="203"/>
      <c r="Z19" s="203"/>
      <c r="AA19" s="203"/>
      <c r="AB19" s="203"/>
      <c r="AC19" s="203"/>
      <c r="AD19" s="203"/>
      <c r="AE19" s="203"/>
      <c r="AF19" s="203"/>
      <c r="AG19" s="203"/>
      <c r="AH19" s="203"/>
      <c r="AI19" s="203"/>
      <c r="AJ19" s="203"/>
      <c r="AK19" s="203"/>
      <c r="AL19" s="203"/>
      <c r="AM19" s="203"/>
      <c r="AN19" s="203"/>
      <c r="AO19" s="203"/>
      <c r="AP19" s="203"/>
      <c r="AQ19" s="203"/>
    </row>
    <row r="20" spans="1:46" ht="15.75" thickBot="1" x14ac:dyDescent="0.3">
      <c r="A20" s="253" t="s">
        <v>99</v>
      </c>
      <c r="B20" s="254"/>
      <c r="C20" s="254"/>
      <c r="D20" s="254"/>
      <c r="E20" s="254"/>
      <c r="F20" s="254"/>
      <c r="G20" s="254"/>
      <c r="H20" s="254"/>
      <c r="I20" s="255"/>
      <c r="J20" s="57" t="str">
        <f>IF(OR(J12="E",J12="F",J12=5),MROUND(J31-((J30+J44)/((22/15)*J42)),0.1),"n/a")</f>
        <v>n/a</v>
      </c>
      <c r="K20" s="57" t="str">
        <f>IF(AND(K5="",K6="",K7="",K11=""),"n/a",IF(K5&lt;&gt;0,MROUND(K31-((K30+K5)/((22/15)*K42)),0.1),MROUND(K31-((K30+K6)/((22/15)*MIN(K42,K37))),0.1)))</f>
        <v>n/a</v>
      </c>
      <c r="L20" s="57" t="str">
        <f>IF(OR(L12="E",L12="F",L12=5),MROUND(L31-((L30+L44)/((22/15)*L42)),0.1),"n/a")</f>
        <v>n/a</v>
      </c>
      <c r="M20" s="57" t="str">
        <f>IF(AND(M5="",M6="",M7="",M11=""),"n/a",IF(M5&lt;&gt;0,MROUND(M31-((M30+M5)/((22/15)*M42)),0.1),MROUND(M31-((M30+M6)/((22/15)*MIN(M42,M37))),0.1)))</f>
        <v>n/a</v>
      </c>
      <c r="N20" s="57" t="str">
        <f>IF(OR(N12="E",N12="F",N12=5),MROUND(N31-((N30+N44)/((22/15)*N42)),0.1),"n/a")</f>
        <v>n/a</v>
      </c>
      <c r="O20" s="57" t="str">
        <f>IF(AND(O5="",O6="",O7="",O11=""),"n/a",IF(O5&lt;&gt;0,MROUND(O31-((O30+O5)/((22/15)*O42)),0.1),MROUND(O31-((O30+O6)/((22/15)*MIN(O42,O37))),0.1)))</f>
        <v>n/a</v>
      </c>
      <c r="P20" s="57" t="str">
        <f>IF(OR(P12="E",P12="F",P12=5),MROUND(P31-((P30+P44)/((22/15)*P42)),0.1),"n/a")</f>
        <v>n/a</v>
      </c>
      <c r="Q20" s="57" t="str">
        <f>IF(AND(Q5="",Q6="",Q7="",Q11=""),"n/a",IF(Q5&lt;&gt;0,MROUND(Q31-((Q30+Q5)/((22/15)*Q42)),0.1),MROUND(Q31-((Q30+Q6)/((22/15)*MIN(Q42,Q37))),0.1)))</f>
        <v>n/a</v>
      </c>
      <c r="R20" s="69" t="s">
        <v>1</v>
      </c>
      <c r="S20" s="199" t="s">
        <v>113</v>
      </c>
      <c r="T20" s="200"/>
      <c r="U20" s="200"/>
      <c r="V20" s="200"/>
      <c r="W20" s="200"/>
      <c r="X20" s="200"/>
      <c r="Y20" s="200"/>
      <c r="Z20" s="200"/>
      <c r="AA20" s="200"/>
      <c r="AB20" s="200"/>
      <c r="AC20" s="200"/>
      <c r="AD20" s="200"/>
      <c r="AE20" s="200"/>
      <c r="AF20" s="200"/>
      <c r="AG20" s="200"/>
      <c r="AH20" s="200"/>
      <c r="AI20" s="200"/>
      <c r="AJ20" s="200"/>
      <c r="AK20" s="200"/>
      <c r="AL20" s="200"/>
      <c r="AM20" s="200"/>
      <c r="AN20" s="200"/>
      <c r="AO20" s="200"/>
      <c r="AP20" s="200"/>
      <c r="AQ20" s="201"/>
    </row>
    <row r="21" spans="1:46" ht="15" customHeight="1" x14ac:dyDescent="0.25">
      <c r="A21" s="256" t="s">
        <v>225</v>
      </c>
      <c r="B21" s="257"/>
      <c r="C21" s="257"/>
      <c r="D21" s="257"/>
      <c r="E21" s="257"/>
      <c r="F21" s="257"/>
      <c r="G21" s="257"/>
      <c r="H21" s="257"/>
      <c r="I21" s="258"/>
      <c r="J21" s="61"/>
      <c r="K21" s="62" t="str">
        <f>IF(K11="X",K23,IF(K11="A","AWS","n/a"))</f>
        <v>n/a</v>
      </c>
      <c r="L21" s="61"/>
      <c r="M21" s="62" t="str">
        <f>IF(M11="X",M23,IF(M11="A","AWS","n/a"))</f>
        <v>n/a</v>
      </c>
      <c r="N21" s="61"/>
      <c r="O21" s="62" t="str">
        <f>IF(O11="X",O23,IF(O11="A","AWS","n/a"))</f>
        <v>n/a</v>
      </c>
      <c r="P21" s="61"/>
      <c r="Q21" s="62" t="str">
        <f>IF(Q11="X",Q23,IF(Q11="A","AWS","n/a"))</f>
        <v>n/a</v>
      </c>
      <c r="R21" s="71" t="s">
        <v>1</v>
      </c>
      <c r="S21" s="246" t="s">
        <v>229</v>
      </c>
      <c r="T21" s="247"/>
      <c r="U21" s="247"/>
      <c r="V21" s="247"/>
      <c r="W21" s="247"/>
      <c r="X21" s="247"/>
      <c r="Y21" s="247"/>
      <c r="Z21" s="247"/>
      <c r="AA21" s="247"/>
      <c r="AB21" s="247"/>
      <c r="AC21" s="247"/>
      <c r="AD21" s="247"/>
      <c r="AE21" s="247"/>
      <c r="AF21" s="247"/>
      <c r="AG21" s="247"/>
      <c r="AH21" s="247"/>
      <c r="AI21" s="247"/>
      <c r="AJ21" s="248"/>
      <c r="AK21" s="244" t="s">
        <v>114</v>
      </c>
      <c r="AL21" s="245"/>
      <c r="AM21" s="245"/>
      <c r="AN21" s="245"/>
      <c r="AO21" s="245"/>
      <c r="AP21" s="245"/>
      <c r="AQ21" s="245"/>
    </row>
    <row r="22" spans="1:46" x14ac:dyDescent="0.25">
      <c r="A22" s="196" t="s">
        <v>227</v>
      </c>
      <c r="B22" s="197"/>
      <c r="C22" s="197"/>
      <c r="D22" s="197"/>
      <c r="E22" s="197"/>
      <c r="F22" s="197"/>
      <c r="G22" s="197"/>
      <c r="H22" s="197"/>
      <c r="I22" s="198"/>
      <c r="J22" s="49"/>
      <c r="K22" s="42" t="str">
        <f>IF(K11="X",MROUND((0.06*K43)+3.2714,0.1),IF(K11="A","AWS","n/a"))</f>
        <v>n/a</v>
      </c>
      <c r="L22" s="49"/>
      <c r="M22" s="42" t="str">
        <f>IF(M11="X",MROUND((0.06*M43)+3.2714,0.1),IF(M11="A","AWS","n/a"))</f>
        <v>n/a</v>
      </c>
      <c r="N22" s="49"/>
      <c r="O22" s="42" t="str">
        <f>IF(O11="X",MROUND((0.06*O43)+3.2714,0.1),IF(O11="A","AWS","n/a"))</f>
        <v>n/a</v>
      </c>
      <c r="P22" s="49"/>
      <c r="Q22" s="42" t="str">
        <f>IF(Q11="X",MROUND((0.06*Q43)+3.2714,0.1),IF(Q11="A","AWS","n/a"))</f>
        <v>n/a</v>
      </c>
      <c r="R22" s="82" t="s">
        <v>1</v>
      </c>
      <c r="S22" s="204" t="s">
        <v>230</v>
      </c>
      <c r="T22" s="205"/>
      <c r="U22" s="205"/>
      <c r="V22" s="205"/>
      <c r="W22" s="205"/>
      <c r="X22" s="205"/>
      <c r="Y22" s="205"/>
      <c r="Z22" s="205"/>
      <c r="AA22" s="205"/>
      <c r="AB22" s="205"/>
      <c r="AC22" s="205"/>
      <c r="AD22" s="205"/>
      <c r="AE22" s="205"/>
      <c r="AF22" s="205"/>
      <c r="AG22" s="205"/>
      <c r="AH22" s="205"/>
      <c r="AI22" s="205"/>
      <c r="AJ22" s="206"/>
      <c r="AK22" s="244"/>
      <c r="AL22" s="245"/>
      <c r="AM22" s="245"/>
      <c r="AN22" s="245"/>
      <c r="AO22" s="245"/>
      <c r="AP22" s="245"/>
      <c r="AQ22" s="245"/>
      <c r="AT22" s="39"/>
    </row>
    <row r="23" spans="1:46" x14ac:dyDescent="0.25">
      <c r="A23" s="196" t="s">
        <v>226</v>
      </c>
      <c r="B23" s="197"/>
      <c r="C23" s="197"/>
      <c r="D23" s="197"/>
      <c r="E23" s="197"/>
      <c r="F23" s="197"/>
      <c r="G23" s="197"/>
      <c r="H23" s="197"/>
      <c r="I23" s="198"/>
      <c r="J23" s="49"/>
      <c r="K23" s="42" t="str">
        <f>IF(OR(K11="L",K11="X"),MROUND((0.04*K41)+0.94+K20,0.1),IF(K11="A","AWS","n/a"))</f>
        <v>n/a</v>
      </c>
      <c r="L23" s="49"/>
      <c r="M23" s="42" t="str">
        <f>IF(OR(M11="L",M11="X"),MROUND((0.04*M41)+0.94+M20,0.1),IF(M11="A","AWS","n/a"))</f>
        <v>n/a</v>
      </c>
      <c r="N23" s="49"/>
      <c r="O23" s="42" t="str">
        <f>IF(OR(O11="L",O11="X"),MROUND((0.04*O41)+0.94+O20,0.1),IF(O11="A","AWS","n/a"))</f>
        <v>n/a</v>
      </c>
      <c r="P23" s="49"/>
      <c r="Q23" s="42" t="str">
        <f>IF(OR(Q11="L",Q11="X"),MROUND((0.04*Q41)+0.94+Q20,0.1),IF(Q11="A","AWS","n/a"))</f>
        <v>n/a</v>
      </c>
      <c r="R23" s="82" t="s">
        <v>1</v>
      </c>
      <c r="S23" s="196" t="s">
        <v>44</v>
      </c>
      <c r="T23" s="197"/>
      <c r="U23" s="197"/>
      <c r="V23" s="197"/>
      <c r="W23" s="197"/>
      <c r="X23" s="197"/>
      <c r="Y23" s="197"/>
      <c r="Z23" s="197"/>
      <c r="AA23" s="197"/>
      <c r="AB23" s="197"/>
      <c r="AC23" s="197"/>
      <c r="AD23" s="197"/>
      <c r="AE23" s="197"/>
      <c r="AF23" s="197"/>
      <c r="AG23" s="197"/>
      <c r="AH23" s="197"/>
      <c r="AI23" s="197"/>
      <c r="AJ23" s="198"/>
      <c r="AK23" s="244"/>
      <c r="AL23" s="245"/>
      <c r="AM23" s="245"/>
      <c r="AN23" s="245"/>
      <c r="AO23" s="245"/>
      <c r="AP23" s="245"/>
      <c r="AQ23" s="245"/>
      <c r="AT23" s="39"/>
    </row>
    <row r="24" spans="1:46" x14ac:dyDescent="0.25">
      <c r="A24" s="196" t="s">
        <v>228</v>
      </c>
      <c r="B24" s="197"/>
      <c r="C24" s="197"/>
      <c r="D24" s="197"/>
      <c r="E24" s="197"/>
      <c r="F24" s="197"/>
      <c r="G24" s="197"/>
      <c r="H24" s="197"/>
      <c r="I24" s="198"/>
      <c r="J24" s="49"/>
      <c r="K24" s="42" t="str">
        <f>IF(OR(K11="L",K11="X"),MROUND((0.0464*K43)+2.9214,0.1),IF(K11="A","AWS","n/a"))</f>
        <v>n/a</v>
      </c>
      <c r="L24" s="49"/>
      <c r="M24" s="42" t="str">
        <f>IF(OR(M11="L",M11="X"),MROUND((0.0464*M43)+2.9214,0.1),IF(M11="A","AWS","n/a"))</f>
        <v>n/a</v>
      </c>
      <c r="N24" s="49"/>
      <c r="O24" s="42" t="str">
        <f>IF(OR(O11="L",O11="X"),MROUND((0.0464*O43)+2.9214,0.1),IF(O11="A","AWS","n/a"))</f>
        <v>n/a</v>
      </c>
      <c r="P24" s="49"/>
      <c r="Q24" s="42" t="str">
        <f>IF(OR(Q11="L",Q11="X"),MROUND((0.0464*Q43)+2.9214,0.1),IF(Q11="A","AWS","n/a"))</f>
        <v>n/a</v>
      </c>
      <c r="R24" s="82" t="s">
        <v>1</v>
      </c>
      <c r="S24" s="196" t="s">
        <v>231</v>
      </c>
      <c r="T24" s="197"/>
      <c r="U24" s="197"/>
      <c r="V24" s="197"/>
      <c r="W24" s="197"/>
      <c r="X24" s="197"/>
      <c r="Y24" s="197"/>
      <c r="Z24" s="197"/>
      <c r="AA24" s="197"/>
      <c r="AB24" s="197"/>
      <c r="AC24" s="197"/>
      <c r="AD24" s="197"/>
      <c r="AE24" s="197"/>
      <c r="AF24" s="197"/>
      <c r="AG24" s="197"/>
      <c r="AH24" s="197"/>
      <c r="AI24" s="197"/>
      <c r="AJ24" s="198"/>
      <c r="AK24" s="244"/>
      <c r="AL24" s="245"/>
      <c r="AM24" s="245"/>
      <c r="AN24" s="245"/>
      <c r="AO24" s="245"/>
      <c r="AP24" s="245"/>
      <c r="AQ24" s="245"/>
    </row>
    <row r="25" spans="1:46" ht="15.75" thickBot="1" x14ac:dyDescent="0.3">
      <c r="A25" s="215" t="s">
        <v>107</v>
      </c>
      <c r="B25" s="216"/>
      <c r="C25" s="216"/>
      <c r="D25" s="216"/>
      <c r="E25" s="216"/>
      <c r="F25" s="216"/>
      <c r="G25" s="216"/>
      <c r="H25" s="216"/>
      <c r="I25" s="217"/>
      <c r="J25" s="63"/>
      <c r="K25" s="64" t="str">
        <f>IF(K11="L",MROUND((K35*3600)/(K43*5280),0.1),IF(K11="X",MROUND((K36*3600)/(K43*5280),0.1),"n/a"))</f>
        <v>n/a</v>
      </c>
      <c r="L25" s="63"/>
      <c r="M25" s="64" t="str">
        <f>IF(M11="L",MROUND((M35*3600)/(M43*5280),0.1),IF(M11="X",MROUND((M36*3600)/(M43*5280),0.1),"n/a"))</f>
        <v>n/a</v>
      </c>
      <c r="N25" s="63"/>
      <c r="O25" s="64" t="str">
        <f>IF(O11="L",MROUND((O35*3600)/(O43*5280),0.1),IF(O11="X",MROUND((O36*3600)/(O43*5280),0.1),"n/a"))</f>
        <v>n/a</v>
      </c>
      <c r="P25" s="63"/>
      <c r="Q25" s="64" t="str">
        <f>IF(Q11="L",MROUND((Q35*3600)/(Q43*5280),0.1),IF(Q11="X",MROUND((Q36*3600)/(Q43*5280),0.1),"n/a"))</f>
        <v>n/a</v>
      </c>
      <c r="R25" s="65" t="s">
        <v>1</v>
      </c>
      <c r="S25" s="235" t="s">
        <v>112</v>
      </c>
      <c r="T25" s="236"/>
      <c r="U25" s="236"/>
      <c r="V25" s="236"/>
      <c r="W25" s="236"/>
      <c r="X25" s="236"/>
      <c r="Y25" s="236"/>
      <c r="Z25" s="236"/>
      <c r="AA25" s="236"/>
      <c r="AB25" s="236"/>
      <c r="AC25" s="236"/>
      <c r="AD25" s="236"/>
      <c r="AE25" s="236"/>
      <c r="AF25" s="236"/>
      <c r="AG25" s="236"/>
      <c r="AH25" s="236"/>
      <c r="AI25" s="236"/>
      <c r="AJ25" s="237"/>
      <c r="AK25" s="244"/>
      <c r="AL25" s="245"/>
      <c r="AM25" s="245"/>
      <c r="AN25" s="245"/>
      <c r="AO25" s="245"/>
      <c r="AP25" s="245"/>
      <c r="AQ25" s="245"/>
    </row>
    <row r="26" spans="1:46" x14ac:dyDescent="0.25">
      <c r="A26" s="218" t="s">
        <v>106</v>
      </c>
      <c r="B26" s="219"/>
      <c r="C26" s="219"/>
      <c r="D26" s="219"/>
      <c r="E26" s="219"/>
      <c r="F26" s="219"/>
      <c r="G26" s="219"/>
      <c r="H26" s="219"/>
      <c r="I26" s="220"/>
      <c r="J26" s="58" t="str">
        <f>IF(OR(J12="E",J12=""),"n/a",IF(OR(J12="P",J12=5),O20+((J30+J13)/((22/15)*J42)),IF(J12="F",K20+((J30+J13)/((22/15)*J42)),"")))</f>
        <v>n/a</v>
      </c>
      <c r="K26" s="59"/>
      <c r="L26" s="58" t="str">
        <f>IF(OR(L12="E",L12=""),"n/a",IF(OR(L12="P",L12=5),Q20+((L30+L13)/((22/15)*L42)),IF(L12="F",M20+((L30+L13)/((22/15)*L42)),"")))</f>
        <v>n/a</v>
      </c>
      <c r="M26" s="59"/>
      <c r="N26" s="58" t="str">
        <f>IF(OR(N12="E",N12=""),"n/a",IF(OR(N12="P",N12=5),K20+((N30+N13)/((22/15)*N42)),IF(N12="F",O20+((N30+N13)/((22/15)*N42)),"")))</f>
        <v>n/a</v>
      </c>
      <c r="O26" s="59"/>
      <c r="P26" s="58" t="str">
        <f>IF(OR(P12="E",P12=""),"n/a",IF(OR(P12="P",P12=5),M20+((P30+P13)/((22/15)*P42)),IF(P12="F",Q20+((P30+P13)/((22/15)*P42)),"")))</f>
        <v>n/a</v>
      </c>
      <c r="Q26" s="59"/>
      <c r="R26" s="60" t="s">
        <v>1</v>
      </c>
      <c r="S26" s="238"/>
      <c r="T26" s="239"/>
      <c r="U26" s="239"/>
      <c r="V26" s="239"/>
      <c r="W26" s="239"/>
      <c r="X26" s="239"/>
      <c r="Y26" s="239"/>
      <c r="Z26" s="239"/>
      <c r="AA26" s="239"/>
      <c r="AB26" s="239"/>
      <c r="AC26" s="239"/>
      <c r="AD26" s="239"/>
      <c r="AE26" s="239"/>
      <c r="AF26" s="239"/>
      <c r="AG26" s="239"/>
      <c r="AH26" s="239"/>
      <c r="AI26" s="239"/>
      <c r="AJ26" s="239"/>
      <c r="AK26" s="239"/>
      <c r="AL26" s="239"/>
      <c r="AM26" s="239"/>
      <c r="AN26" s="239"/>
      <c r="AO26" s="239"/>
      <c r="AP26" s="239"/>
      <c r="AQ26" s="240"/>
    </row>
    <row r="27" spans="1:46" x14ac:dyDescent="0.25">
      <c r="A27" s="221" t="s">
        <v>104</v>
      </c>
      <c r="B27" s="222"/>
      <c r="C27" s="222"/>
      <c r="D27" s="222"/>
      <c r="E27" s="222"/>
      <c r="F27" s="222"/>
      <c r="G27" s="222"/>
      <c r="H27" s="222"/>
      <c r="I27" s="223"/>
      <c r="J27" s="53" t="str">
        <f>IF(OR(J12="P",J12=5),MROUND(((22/15)*J42*(J31-O20))-J30,1),IF(J12="F",MROUND(((22/15)*J42*(J31-K20))-J30,1),"n/a"))</f>
        <v>n/a</v>
      </c>
      <c r="K27" s="54"/>
      <c r="L27" s="53" t="str">
        <f>IF(OR(L12="P",L12=5),MROUND(((22/15)*L42*(L31-Q20))-L30,1),IF(L12="F",MROUND(((22/15)*L42*(L31-M20))-L30,1),"n/a"))</f>
        <v>n/a</v>
      </c>
      <c r="M27" s="54"/>
      <c r="N27" s="53" t="str">
        <f>IF(OR(N12="P",N12=5),MROUND(((22/15)*N42*(N31-K20))-N30,1),IF(N12="F",MROUND(((22/15)*N42*(N31-O20))-N30,1),"n/a"))</f>
        <v>n/a</v>
      </c>
      <c r="O27" s="54"/>
      <c r="P27" s="53" t="str">
        <f>IF(OR(P12="P",P12=5),MROUND(((22/15)*P42*(P31-M20))-P30,1),IF(P12="F",MROUND(((22/15)*P42*(P31-Q20))-P30,1),"n/a"))</f>
        <v>n/a</v>
      </c>
      <c r="Q27" s="54"/>
      <c r="R27" s="70" t="s">
        <v>2</v>
      </c>
      <c r="S27" s="241" t="s">
        <v>105</v>
      </c>
      <c r="T27" s="242"/>
      <c r="U27" s="242"/>
      <c r="V27" s="242"/>
      <c r="W27" s="242"/>
      <c r="X27" s="242"/>
      <c r="Y27" s="242"/>
      <c r="Z27" s="242"/>
      <c r="AA27" s="242"/>
      <c r="AB27" s="242"/>
      <c r="AC27" s="242"/>
      <c r="AD27" s="242"/>
      <c r="AE27" s="242"/>
      <c r="AF27" s="242"/>
      <c r="AG27" s="242"/>
      <c r="AH27" s="242"/>
      <c r="AI27" s="242"/>
      <c r="AJ27" s="242"/>
      <c r="AK27" s="242"/>
      <c r="AL27" s="242"/>
      <c r="AM27" s="242"/>
      <c r="AN27" s="242"/>
      <c r="AO27" s="242"/>
      <c r="AP27" s="242"/>
      <c r="AQ27" s="243"/>
    </row>
    <row r="28" spans="1:46" x14ac:dyDescent="0.25">
      <c r="A28" s="55"/>
      <c r="B28" s="55"/>
      <c r="C28" s="55"/>
      <c r="D28" s="55"/>
      <c r="E28" s="55"/>
      <c r="F28" s="55"/>
      <c r="G28" s="55"/>
      <c r="H28" s="55"/>
      <c r="I28" s="55"/>
      <c r="J28" s="55"/>
      <c r="K28" s="55"/>
      <c r="L28" s="55"/>
      <c r="M28" s="55"/>
      <c r="N28" s="55"/>
      <c r="O28" s="55"/>
      <c r="P28" s="55"/>
      <c r="Q28" s="55"/>
      <c r="R28" s="55"/>
      <c r="S28" s="56"/>
      <c r="T28" s="56"/>
      <c r="U28" s="56"/>
      <c r="V28" s="56"/>
      <c r="W28" s="56"/>
      <c r="X28" s="56"/>
      <c r="Y28" s="56"/>
      <c r="Z28" s="56"/>
      <c r="AA28" s="56"/>
      <c r="AB28" s="56"/>
      <c r="AC28" s="56"/>
      <c r="AD28" s="56"/>
      <c r="AE28" s="56"/>
      <c r="AF28" s="56"/>
      <c r="AG28" s="56"/>
      <c r="AH28" s="56"/>
      <c r="AI28" s="56"/>
      <c r="AJ28" s="56"/>
    </row>
    <row r="29" spans="1:46" s="68" customFormat="1" ht="13.5" x14ac:dyDescent="0.25">
      <c r="A29" s="210" t="s">
        <v>92</v>
      </c>
      <c r="B29" s="211"/>
      <c r="C29" s="211"/>
      <c r="D29" s="211"/>
      <c r="E29" s="211"/>
      <c r="F29" s="211"/>
      <c r="G29" s="211"/>
      <c r="H29" s="211"/>
      <c r="I29" s="211"/>
      <c r="J29" s="94">
        <f t="shared" ref="J29:Q29" si="1">J4</f>
        <v>1</v>
      </c>
      <c r="K29" s="94">
        <f t="shared" si="1"/>
        <v>2</v>
      </c>
      <c r="L29" s="94">
        <f t="shared" si="1"/>
        <v>3</v>
      </c>
      <c r="M29" s="94">
        <f t="shared" si="1"/>
        <v>4</v>
      </c>
      <c r="N29" s="94">
        <f t="shared" si="1"/>
        <v>5</v>
      </c>
      <c r="O29" s="94">
        <f t="shared" si="1"/>
        <v>6</v>
      </c>
      <c r="P29" s="94">
        <f t="shared" si="1"/>
        <v>7</v>
      </c>
      <c r="Q29" s="94">
        <f t="shared" si="1"/>
        <v>8</v>
      </c>
      <c r="R29" s="89"/>
      <c r="S29" s="234" t="s">
        <v>115</v>
      </c>
      <c r="T29" s="234"/>
      <c r="U29" s="234"/>
      <c r="V29" s="234"/>
      <c r="W29" s="234"/>
      <c r="X29" s="234"/>
      <c r="Y29" s="234"/>
      <c r="Z29" s="234"/>
      <c r="AA29" s="234"/>
      <c r="AB29" s="234"/>
      <c r="AC29" s="234"/>
      <c r="AD29" s="234"/>
      <c r="AE29" s="234"/>
      <c r="AF29" s="234"/>
      <c r="AG29" s="234"/>
      <c r="AH29" s="234"/>
      <c r="AI29" s="234"/>
      <c r="AJ29" s="234"/>
      <c r="AK29" s="234"/>
      <c r="AL29" s="234"/>
      <c r="AM29" s="234"/>
      <c r="AN29" s="234"/>
      <c r="AO29" s="234"/>
      <c r="AP29" s="234"/>
      <c r="AQ29" s="234"/>
    </row>
    <row r="30" spans="1:46" x14ac:dyDescent="0.25">
      <c r="A30" s="177" t="s">
        <v>100</v>
      </c>
      <c r="B30" s="178"/>
      <c r="C30" s="178"/>
      <c r="D30" s="178"/>
      <c r="E30" s="178"/>
      <c r="F30" s="178"/>
      <c r="G30" s="178"/>
      <c r="H30" s="90">
        <v>20</v>
      </c>
      <c r="I30" s="91">
        <f>H30</f>
        <v>20</v>
      </c>
      <c r="J30" s="17">
        <v>20</v>
      </c>
      <c r="K30" s="17">
        <v>20</v>
      </c>
      <c r="L30" s="17">
        <v>20</v>
      </c>
      <c r="M30" s="17">
        <v>20</v>
      </c>
      <c r="N30" s="17">
        <v>20</v>
      </c>
      <c r="O30" s="17">
        <v>20</v>
      </c>
      <c r="P30" s="17">
        <v>20</v>
      </c>
      <c r="Q30" s="17">
        <v>20</v>
      </c>
      <c r="R30" s="82" t="s">
        <v>2</v>
      </c>
      <c r="S30" s="194" t="s">
        <v>137</v>
      </c>
      <c r="T30" s="194"/>
      <c r="U30" s="194"/>
      <c r="V30" s="194"/>
      <c r="W30" s="194"/>
      <c r="X30" s="194"/>
      <c r="Y30" s="194"/>
      <c r="Z30" s="194"/>
      <c r="AA30" s="194"/>
      <c r="AB30" s="194"/>
      <c r="AC30" s="194"/>
      <c r="AD30" s="194"/>
      <c r="AE30" s="194"/>
      <c r="AF30" s="194"/>
      <c r="AG30" s="194"/>
      <c r="AH30" s="194"/>
      <c r="AI30" s="194"/>
      <c r="AJ30" s="194"/>
      <c r="AK30" s="194"/>
      <c r="AL30" s="194"/>
      <c r="AM30" s="194"/>
      <c r="AN30" s="194"/>
      <c r="AO30" s="194"/>
      <c r="AP30" s="194"/>
      <c r="AQ30" s="194"/>
      <c r="AT30" s="38"/>
    </row>
    <row r="31" spans="1:46" x14ac:dyDescent="0.25">
      <c r="A31" s="177" t="s">
        <v>101</v>
      </c>
      <c r="B31" s="178"/>
      <c r="C31" s="178"/>
      <c r="D31" s="178"/>
      <c r="E31" s="178"/>
      <c r="F31" s="178"/>
      <c r="G31" s="178"/>
      <c r="H31" s="90">
        <v>3</v>
      </c>
      <c r="I31" s="91">
        <f>H31</f>
        <v>3</v>
      </c>
      <c r="J31" s="52">
        <v>3</v>
      </c>
      <c r="K31" s="52">
        <v>3</v>
      </c>
      <c r="L31" s="52">
        <v>3</v>
      </c>
      <c r="M31" s="52">
        <v>3</v>
      </c>
      <c r="N31" s="52">
        <v>3</v>
      </c>
      <c r="O31" s="52">
        <v>3</v>
      </c>
      <c r="P31" s="52">
        <v>3</v>
      </c>
      <c r="Q31" s="52">
        <v>3</v>
      </c>
      <c r="R31" s="82" t="s">
        <v>1</v>
      </c>
      <c r="S31" s="195" t="s">
        <v>9</v>
      </c>
      <c r="T31" s="195"/>
      <c r="U31" s="195"/>
      <c r="V31" s="195"/>
      <c r="W31" s="195"/>
      <c r="X31" s="195"/>
      <c r="Y31" s="195"/>
      <c r="Z31" s="195"/>
      <c r="AA31" s="195"/>
      <c r="AB31" s="195"/>
      <c r="AC31" s="195"/>
      <c r="AD31" s="195"/>
      <c r="AE31" s="195"/>
      <c r="AF31" s="195"/>
      <c r="AG31" s="195"/>
      <c r="AH31" s="195"/>
      <c r="AI31" s="195"/>
      <c r="AJ31" s="195"/>
      <c r="AK31" s="195"/>
      <c r="AL31" s="195"/>
      <c r="AM31" s="195"/>
      <c r="AN31" s="195"/>
      <c r="AO31" s="195"/>
      <c r="AP31" s="195"/>
      <c r="AQ31" s="195"/>
      <c r="AT31" s="38"/>
    </row>
    <row r="32" spans="1:46" x14ac:dyDescent="0.25">
      <c r="A32" s="177" t="s">
        <v>91</v>
      </c>
      <c r="B32" s="178"/>
      <c r="C32" s="178"/>
      <c r="D32" s="178"/>
      <c r="E32" s="178"/>
      <c r="F32" s="178"/>
      <c r="G32" s="178"/>
      <c r="H32" s="90"/>
      <c r="I32" s="91">
        <v>7</v>
      </c>
      <c r="J32" s="110"/>
      <c r="K32" s="17">
        <v>7</v>
      </c>
      <c r="L32" s="110"/>
      <c r="M32" s="17">
        <v>7</v>
      </c>
      <c r="N32" s="110"/>
      <c r="O32" s="17">
        <v>7</v>
      </c>
      <c r="P32" s="110"/>
      <c r="Q32" s="17">
        <v>7</v>
      </c>
      <c r="R32" s="82" t="s">
        <v>0</v>
      </c>
      <c r="S32" s="195" t="s">
        <v>10</v>
      </c>
      <c r="T32" s="195"/>
      <c r="U32" s="195"/>
      <c r="V32" s="195"/>
      <c r="W32" s="195"/>
      <c r="X32" s="195"/>
      <c r="Y32" s="195"/>
      <c r="Z32" s="195"/>
      <c r="AA32" s="195"/>
      <c r="AB32" s="195"/>
      <c r="AC32" s="195"/>
      <c r="AD32" s="195"/>
      <c r="AE32" s="195"/>
      <c r="AF32" s="195"/>
      <c r="AG32" s="195"/>
      <c r="AH32" s="195"/>
      <c r="AI32" s="195"/>
      <c r="AJ32" s="195"/>
      <c r="AK32" s="195"/>
      <c r="AL32" s="195"/>
      <c r="AM32" s="195"/>
      <c r="AN32" s="195"/>
      <c r="AO32" s="195"/>
      <c r="AP32" s="195"/>
      <c r="AQ32" s="195"/>
    </row>
    <row r="33" spans="1:43" x14ac:dyDescent="0.25">
      <c r="A33" s="177" t="s">
        <v>90</v>
      </c>
      <c r="B33" s="178"/>
      <c r="C33" s="178"/>
      <c r="D33" s="178"/>
      <c r="E33" s="178"/>
      <c r="F33" s="178"/>
      <c r="G33" s="178"/>
      <c r="H33" s="90"/>
      <c r="I33" s="91">
        <v>88</v>
      </c>
      <c r="J33" s="110"/>
      <c r="K33" s="17">
        <v>88</v>
      </c>
      <c r="L33" s="110"/>
      <c r="M33" s="17">
        <v>88</v>
      </c>
      <c r="N33" s="110"/>
      <c r="O33" s="17">
        <v>88</v>
      </c>
      <c r="P33" s="110"/>
      <c r="Q33" s="17">
        <v>88</v>
      </c>
      <c r="R33" s="82" t="s">
        <v>11</v>
      </c>
      <c r="S33" s="195" t="s">
        <v>12</v>
      </c>
      <c r="T33" s="195"/>
      <c r="U33" s="195"/>
      <c r="V33" s="195"/>
      <c r="W33" s="195"/>
      <c r="X33" s="195"/>
      <c r="Y33" s="195"/>
      <c r="Z33" s="195"/>
      <c r="AA33" s="195"/>
      <c r="AB33" s="195"/>
      <c r="AC33" s="195"/>
      <c r="AD33" s="195"/>
      <c r="AE33" s="195"/>
      <c r="AF33" s="195"/>
      <c r="AG33" s="195"/>
      <c r="AH33" s="195"/>
      <c r="AI33" s="195"/>
      <c r="AJ33" s="195"/>
      <c r="AK33" s="195"/>
      <c r="AL33" s="195"/>
      <c r="AM33" s="195"/>
      <c r="AN33" s="195"/>
      <c r="AO33" s="195"/>
      <c r="AP33" s="195"/>
      <c r="AQ33" s="195"/>
    </row>
    <row r="34" spans="1:43" x14ac:dyDescent="0.25">
      <c r="A34" s="177" t="s">
        <v>144</v>
      </c>
      <c r="B34" s="178"/>
      <c r="C34" s="178"/>
      <c r="D34" s="178"/>
      <c r="E34" s="178"/>
      <c r="F34" s="178"/>
      <c r="G34" s="178"/>
      <c r="H34" s="90"/>
      <c r="I34" s="91">
        <v>21</v>
      </c>
      <c r="J34" s="110"/>
      <c r="K34" s="17">
        <v>21</v>
      </c>
      <c r="L34" s="110"/>
      <c r="M34" s="17">
        <v>21</v>
      </c>
      <c r="N34" s="110"/>
      <c r="O34" s="17">
        <v>21</v>
      </c>
      <c r="P34" s="110"/>
      <c r="Q34" s="17">
        <v>21</v>
      </c>
      <c r="R34" s="82" t="s">
        <v>0</v>
      </c>
      <c r="S34" s="195" t="s">
        <v>13</v>
      </c>
      <c r="T34" s="195"/>
      <c r="U34" s="195"/>
      <c r="V34" s="195"/>
      <c r="W34" s="195"/>
      <c r="X34" s="195"/>
      <c r="Y34" s="195"/>
      <c r="Z34" s="195"/>
      <c r="AA34" s="195"/>
      <c r="AB34" s="195"/>
      <c r="AC34" s="195"/>
      <c r="AD34" s="195"/>
      <c r="AE34" s="195"/>
      <c r="AF34" s="195"/>
      <c r="AG34" s="195"/>
      <c r="AH34" s="195"/>
      <c r="AI34" s="195"/>
      <c r="AJ34" s="195"/>
      <c r="AK34" s="195"/>
      <c r="AL34" s="195"/>
      <c r="AM34" s="195"/>
      <c r="AN34" s="195"/>
      <c r="AO34" s="195"/>
      <c r="AP34" s="195"/>
      <c r="AQ34" s="195"/>
    </row>
    <row r="35" spans="1:43" ht="15" customHeight="1" x14ac:dyDescent="0.25">
      <c r="A35" s="177" t="s">
        <v>26</v>
      </c>
      <c r="B35" s="178"/>
      <c r="C35" s="178"/>
      <c r="D35" s="178"/>
      <c r="E35" s="178"/>
      <c r="F35" s="178"/>
      <c r="G35" s="178"/>
      <c r="H35" s="90"/>
      <c r="I35" s="91">
        <v>600</v>
      </c>
      <c r="J35" s="110"/>
      <c r="K35" s="17">
        <v>600</v>
      </c>
      <c r="L35" s="110"/>
      <c r="M35" s="17">
        <v>600</v>
      </c>
      <c r="N35" s="110"/>
      <c r="O35" s="17">
        <v>600</v>
      </c>
      <c r="P35" s="110"/>
      <c r="Q35" s="17">
        <v>600</v>
      </c>
      <c r="R35" s="70" t="s">
        <v>2</v>
      </c>
      <c r="S35" s="195" t="s">
        <v>24</v>
      </c>
      <c r="T35" s="195"/>
      <c r="U35" s="195"/>
      <c r="V35" s="195"/>
      <c r="W35" s="195"/>
      <c r="X35" s="195"/>
      <c r="Y35" s="195"/>
      <c r="Z35" s="195"/>
      <c r="AA35" s="195"/>
      <c r="AB35" s="195"/>
      <c r="AC35" s="195"/>
      <c r="AD35" s="195"/>
      <c r="AE35" s="195"/>
      <c r="AF35" s="195"/>
      <c r="AG35" s="195"/>
      <c r="AH35" s="195"/>
      <c r="AI35" s="195"/>
      <c r="AJ35" s="195"/>
      <c r="AK35" s="195"/>
      <c r="AL35" s="195"/>
      <c r="AM35" s="195"/>
      <c r="AN35" s="195"/>
      <c r="AO35" s="195"/>
      <c r="AP35" s="195"/>
      <c r="AQ35" s="195"/>
    </row>
    <row r="36" spans="1:43" x14ac:dyDescent="0.25">
      <c r="A36" s="177" t="s">
        <v>25</v>
      </c>
      <c r="B36" s="178"/>
      <c r="C36" s="178"/>
      <c r="D36" s="178"/>
      <c r="E36" s="178"/>
      <c r="F36" s="178"/>
      <c r="G36" s="178"/>
      <c r="H36" s="90"/>
      <c r="I36" s="91">
        <v>900</v>
      </c>
      <c r="J36" s="110"/>
      <c r="K36" s="17">
        <v>900</v>
      </c>
      <c r="L36" s="110"/>
      <c r="M36" s="17">
        <v>900</v>
      </c>
      <c r="N36" s="110"/>
      <c r="O36" s="17">
        <v>900</v>
      </c>
      <c r="P36" s="110"/>
      <c r="Q36" s="17">
        <v>900</v>
      </c>
      <c r="R36" s="70" t="s">
        <v>2</v>
      </c>
      <c r="S36" s="195" t="s">
        <v>27</v>
      </c>
      <c r="T36" s="195"/>
      <c r="U36" s="195"/>
      <c r="V36" s="195"/>
      <c r="W36" s="195"/>
      <c r="X36" s="195"/>
      <c r="Y36" s="195"/>
      <c r="Z36" s="195"/>
      <c r="AA36" s="195"/>
      <c r="AB36" s="195"/>
      <c r="AC36" s="195"/>
      <c r="AD36" s="195"/>
      <c r="AE36" s="195"/>
      <c r="AF36" s="195"/>
      <c r="AG36" s="195"/>
      <c r="AH36" s="195"/>
      <c r="AI36" s="195"/>
      <c r="AJ36" s="195"/>
      <c r="AK36" s="195"/>
      <c r="AL36" s="195"/>
      <c r="AM36" s="195"/>
      <c r="AN36" s="195"/>
      <c r="AO36" s="195"/>
      <c r="AP36" s="195"/>
      <c r="AQ36" s="195"/>
    </row>
    <row r="37" spans="1:43" x14ac:dyDescent="0.25">
      <c r="A37" s="177" t="s">
        <v>36</v>
      </c>
      <c r="B37" s="178"/>
      <c r="C37" s="178"/>
      <c r="D37" s="178"/>
      <c r="E37" s="178"/>
      <c r="F37" s="178"/>
      <c r="G37" s="178"/>
      <c r="H37" s="90"/>
      <c r="I37" s="91">
        <v>35</v>
      </c>
      <c r="J37" s="110"/>
      <c r="K37" s="17">
        <v>35</v>
      </c>
      <c r="L37" s="110"/>
      <c r="M37" s="17">
        <v>35</v>
      </c>
      <c r="N37" s="110"/>
      <c r="O37" s="17">
        <v>35</v>
      </c>
      <c r="P37" s="110"/>
      <c r="Q37" s="17">
        <v>35</v>
      </c>
      <c r="R37" s="70" t="s">
        <v>0</v>
      </c>
      <c r="S37" s="195" t="s">
        <v>37</v>
      </c>
      <c r="T37" s="195"/>
      <c r="U37" s="195"/>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row>
    <row r="38" spans="1:43" x14ac:dyDescent="0.25">
      <c r="A38" s="177" t="s">
        <v>88</v>
      </c>
      <c r="B38" s="178"/>
      <c r="C38" s="178"/>
      <c r="D38" s="178"/>
      <c r="E38" s="178"/>
      <c r="F38" s="178"/>
      <c r="G38" s="178"/>
      <c r="H38" s="90">
        <v>20</v>
      </c>
      <c r="I38" s="91"/>
      <c r="J38" s="17">
        <v>20</v>
      </c>
      <c r="K38" s="110"/>
      <c r="L38" s="17">
        <v>20</v>
      </c>
      <c r="M38" s="110"/>
      <c r="N38" s="17">
        <v>20</v>
      </c>
      <c r="O38" s="110"/>
      <c r="P38" s="17">
        <v>20</v>
      </c>
      <c r="Q38" s="110"/>
      <c r="R38" s="70" t="s">
        <v>0</v>
      </c>
      <c r="S38" s="194" t="s">
        <v>89</v>
      </c>
      <c r="T38" s="194"/>
      <c r="U38" s="194"/>
      <c r="V38" s="194"/>
      <c r="W38" s="194"/>
      <c r="X38" s="194"/>
      <c r="Y38" s="194"/>
      <c r="Z38" s="194"/>
      <c r="AA38" s="194"/>
      <c r="AB38" s="194"/>
      <c r="AC38" s="194"/>
      <c r="AD38" s="194"/>
      <c r="AE38" s="194"/>
      <c r="AF38" s="194"/>
      <c r="AG38" s="194"/>
      <c r="AH38" s="194"/>
      <c r="AI38" s="194"/>
      <c r="AJ38" s="194"/>
      <c r="AK38" s="194"/>
      <c r="AL38" s="194"/>
      <c r="AM38" s="194"/>
      <c r="AN38" s="194"/>
      <c r="AO38" s="194"/>
      <c r="AP38" s="194"/>
      <c r="AQ38" s="194"/>
    </row>
    <row r="39" spans="1:43" x14ac:dyDescent="0.25">
      <c r="A39" s="55"/>
      <c r="B39" s="55"/>
      <c r="C39" s="55"/>
      <c r="D39" s="55"/>
      <c r="E39" s="55"/>
      <c r="F39" s="55"/>
      <c r="G39" s="55"/>
      <c r="H39" s="55"/>
      <c r="I39" s="55"/>
      <c r="J39" s="55"/>
      <c r="K39" s="55"/>
      <c r="L39" s="55"/>
      <c r="M39" s="55"/>
      <c r="N39" s="55"/>
      <c r="O39" s="55"/>
      <c r="P39" s="55"/>
      <c r="Q39" s="55"/>
      <c r="R39" s="55"/>
      <c r="S39" s="56"/>
      <c r="T39" s="56"/>
      <c r="U39" s="56"/>
      <c r="V39" s="56"/>
      <c r="W39" s="56"/>
      <c r="X39" s="56"/>
      <c r="Y39" s="56"/>
      <c r="Z39" s="56"/>
      <c r="AA39" s="56"/>
      <c r="AB39" s="56"/>
      <c r="AC39" s="56"/>
      <c r="AD39" s="56"/>
      <c r="AE39" s="56"/>
      <c r="AF39" s="56"/>
      <c r="AG39" s="56"/>
      <c r="AH39" s="56"/>
      <c r="AI39" s="56"/>
      <c r="AJ39" s="56"/>
    </row>
    <row r="40" spans="1:43" s="68" customFormat="1" ht="13.5" x14ac:dyDescent="0.25">
      <c r="A40" s="210" t="s">
        <v>92</v>
      </c>
      <c r="B40" s="211"/>
      <c r="C40" s="211"/>
      <c r="D40" s="211"/>
      <c r="E40" s="211"/>
      <c r="F40" s="211"/>
      <c r="G40" s="211"/>
      <c r="H40" s="211"/>
      <c r="I40" s="211"/>
      <c r="J40" s="94">
        <f>J4</f>
        <v>1</v>
      </c>
      <c r="K40" s="94">
        <f t="shared" ref="K40:Q40" si="2">K4</f>
        <v>2</v>
      </c>
      <c r="L40" s="94">
        <f t="shared" si="2"/>
        <v>3</v>
      </c>
      <c r="M40" s="94">
        <f t="shared" si="2"/>
        <v>4</v>
      </c>
      <c r="N40" s="94">
        <f t="shared" si="2"/>
        <v>5</v>
      </c>
      <c r="O40" s="94">
        <f t="shared" si="2"/>
        <v>6</v>
      </c>
      <c r="P40" s="94">
        <f t="shared" si="2"/>
        <v>7</v>
      </c>
      <c r="Q40" s="94">
        <f t="shared" si="2"/>
        <v>8</v>
      </c>
      <c r="R40" s="66"/>
      <c r="S40" s="174" t="s">
        <v>148</v>
      </c>
      <c r="T40" s="175"/>
      <c r="U40" s="175"/>
      <c r="V40" s="175"/>
      <c r="W40" s="175"/>
      <c r="X40" s="175"/>
      <c r="Y40" s="175"/>
      <c r="Z40" s="175"/>
      <c r="AA40" s="175"/>
      <c r="AB40" s="175"/>
      <c r="AC40" s="175"/>
      <c r="AD40" s="175"/>
      <c r="AE40" s="175"/>
      <c r="AF40" s="175"/>
      <c r="AG40" s="175"/>
      <c r="AH40" s="175"/>
      <c r="AI40" s="175"/>
      <c r="AJ40" s="175"/>
      <c r="AK40" s="175"/>
      <c r="AL40" s="175"/>
      <c r="AM40" s="175"/>
      <c r="AN40" s="175"/>
      <c r="AO40" s="175"/>
      <c r="AP40" s="175"/>
      <c r="AQ40" s="175"/>
    </row>
    <row r="41" spans="1:43" x14ac:dyDescent="0.25">
      <c r="A41" s="212" t="s">
        <v>14</v>
      </c>
      <c r="B41" s="213"/>
      <c r="C41" s="213"/>
      <c r="D41" s="213"/>
      <c r="E41" s="213"/>
      <c r="F41" s="213"/>
      <c r="G41" s="213"/>
      <c r="H41" s="213"/>
      <c r="I41" s="214"/>
      <c r="J41" s="112"/>
      <c r="K41" s="112">
        <f>IF(K8=0,K43-K34,K8)</f>
        <v>-14</v>
      </c>
      <c r="L41" s="112"/>
      <c r="M41" s="112">
        <f>IF(M8=0,M43-M34,M8)</f>
        <v>-14</v>
      </c>
      <c r="N41" s="112"/>
      <c r="O41" s="112">
        <f>IF(O8=0,O43-O34,O8)</f>
        <v>-14</v>
      </c>
      <c r="P41" s="112"/>
      <c r="Q41" s="112">
        <f>IF(Q8=0,Q43-Q34,Q8)</f>
        <v>-14</v>
      </c>
      <c r="R41" s="113" t="s">
        <v>0</v>
      </c>
      <c r="S41" s="224" t="s">
        <v>19</v>
      </c>
      <c r="T41" s="224"/>
      <c r="U41" s="224"/>
      <c r="V41" s="224"/>
      <c r="W41" s="224"/>
      <c r="X41" s="224"/>
      <c r="Y41" s="224"/>
      <c r="Z41" s="224"/>
      <c r="AA41" s="224"/>
      <c r="AB41" s="224"/>
      <c r="AC41" s="224"/>
      <c r="AD41" s="224"/>
      <c r="AE41" s="224"/>
      <c r="AF41" s="224"/>
      <c r="AG41" s="224"/>
      <c r="AH41" s="224"/>
      <c r="AI41" s="224"/>
      <c r="AJ41" s="224"/>
      <c r="AK41" s="224"/>
      <c r="AL41" s="224"/>
      <c r="AM41" s="224"/>
      <c r="AN41" s="224"/>
      <c r="AO41" s="224"/>
      <c r="AP41" s="224"/>
      <c r="AQ41" s="224"/>
    </row>
    <row r="42" spans="1:43" ht="15" customHeight="1" x14ac:dyDescent="0.25">
      <c r="A42" s="212" t="s">
        <v>15</v>
      </c>
      <c r="B42" s="213"/>
      <c r="C42" s="213"/>
      <c r="D42" s="213"/>
      <c r="E42" s="213"/>
      <c r="F42" s="213"/>
      <c r="G42" s="213"/>
      <c r="H42" s="213"/>
      <c r="I42" s="214"/>
      <c r="J42" s="112">
        <f>IF(J17=0,J38,J17)</f>
        <v>20</v>
      </c>
      <c r="K42" s="112">
        <f>IF(K9=0,K43*(K33/100),K9)</f>
        <v>6.16</v>
      </c>
      <c r="L42" s="112">
        <f>IF(L17=0,L38,L17)</f>
        <v>20</v>
      </c>
      <c r="M42" s="112">
        <f>IF(M9=0,M43*(M33/100),M9)</f>
        <v>6.16</v>
      </c>
      <c r="N42" s="112">
        <f>IF(N17=0,N38,N17)</f>
        <v>20</v>
      </c>
      <c r="O42" s="112">
        <f>IF(O9=0,O43*(O33/100),O9)</f>
        <v>6.16</v>
      </c>
      <c r="P42" s="112">
        <f>IF(P17=0,P38,P17)</f>
        <v>20</v>
      </c>
      <c r="Q42" s="112">
        <f>IF(Q9=0,Q43*(Q33/100),Q9)</f>
        <v>6.16</v>
      </c>
      <c r="R42" s="113" t="s">
        <v>0</v>
      </c>
      <c r="S42" s="224" t="s">
        <v>20</v>
      </c>
      <c r="T42" s="224"/>
      <c r="U42" s="224"/>
      <c r="V42" s="224"/>
      <c r="W42" s="224"/>
      <c r="X42" s="224"/>
      <c r="Y42" s="224"/>
      <c r="Z42" s="224"/>
      <c r="AA42" s="224"/>
      <c r="AB42" s="224"/>
      <c r="AC42" s="224"/>
      <c r="AD42" s="224"/>
      <c r="AE42" s="224"/>
      <c r="AF42" s="224"/>
      <c r="AG42" s="224"/>
      <c r="AH42" s="224"/>
      <c r="AI42" s="224"/>
      <c r="AJ42" s="224"/>
      <c r="AK42" s="224"/>
      <c r="AL42" s="224"/>
      <c r="AM42" s="224"/>
      <c r="AN42" s="224"/>
      <c r="AO42" s="224"/>
      <c r="AP42" s="224"/>
      <c r="AQ42" s="224"/>
    </row>
    <row r="43" spans="1:43" x14ac:dyDescent="0.25">
      <c r="A43" s="212" t="s">
        <v>16</v>
      </c>
      <c r="B43" s="213"/>
      <c r="C43" s="213"/>
      <c r="D43" s="213"/>
      <c r="E43" s="213"/>
      <c r="F43" s="213"/>
      <c r="G43" s="213"/>
      <c r="H43" s="213"/>
      <c r="I43" s="214"/>
      <c r="J43" s="112"/>
      <c r="K43" s="112">
        <f>IF(K10=0,K7+K32,K10)</f>
        <v>7</v>
      </c>
      <c r="L43" s="112"/>
      <c r="M43" s="112">
        <f>IF(M10=0,M7+M32,M10)</f>
        <v>7</v>
      </c>
      <c r="N43" s="112"/>
      <c r="O43" s="112">
        <f>IF(O10=0,O7+O32,O10)</f>
        <v>7</v>
      </c>
      <c r="P43" s="112"/>
      <c r="Q43" s="112">
        <f>IF(Q10=0,Q7+Q32,Q10)</f>
        <v>7</v>
      </c>
      <c r="R43" s="113" t="s">
        <v>0</v>
      </c>
      <c r="S43" s="224" t="s">
        <v>21</v>
      </c>
      <c r="T43" s="224"/>
      <c r="U43" s="224"/>
      <c r="V43" s="224"/>
      <c r="W43" s="224"/>
      <c r="X43" s="224"/>
      <c r="Y43" s="224"/>
      <c r="Z43" s="224"/>
      <c r="AA43" s="224"/>
      <c r="AB43" s="224"/>
      <c r="AC43" s="224"/>
      <c r="AD43" s="224"/>
      <c r="AE43" s="224"/>
      <c r="AF43" s="224"/>
      <c r="AG43" s="224"/>
      <c r="AH43" s="224"/>
      <c r="AI43" s="224"/>
      <c r="AJ43" s="224"/>
      <c r="AK43" s="224"/>
      <c r="AL43" s="224"/>
      <c r="AM43" s="224"/>
      <c r="AN43" s="224"/>
      <c r="AO43" s="224"/>
      <c r="AP43" s="224"/>
      <c r="AQ43" s="224"/>
    </row>
    <row r="44" spans="1:43" x14ac:dyDescent="0.25">
      <c r="A44" s="212" t="s">
        <v>214</v>
      </c>
      <c r="B44" s="213"/>
      <c r="C44" s="213"/>
      <c r="D44" s="213"/>
      <c r="E44" s="213"/>
      <c r="F44" s="213"/>
      <c r="G44" s="213"/>
      <c r="H44" s="213"/>
      <c r="I44" s="214"/>
      <c r="J44" s="112">
        <f>IF(J15="x",0,J14)+IF(J16="",0,J13)</f>
        <v>0</v>
      </c>
      <c r="K44" s="112"/>
      <c r="L44" s="112">
        <f>IF(L15="x",0,L14)+IF(L16="",0,L13)</f>
        <v>0</v>
      </c>
      <c r="M44" s="112"/>
      <c r="N44" s="112">
        <f>IF(N15="x",0,N14)+IF(N16="",0,N13)</f>
        <v>0</v>
      </c>
      <c r="O44" s="112"/>
      <c r="P44" s="112">
        <f>IF(P15="x",0,P14)+IF(P16="",0,P13)</f>
        <v>0</v>
      </c>
      <c r="Q44" s="112"/>
      <c r="R44" s="113" t="s">
        <v>2</v>
      </c>
      <c r="S44" s="225" t="s">
        <v>215</v>
      </c>
      <c r="T44" s="226"/>
      <c r="U44" s="226"/>
      <c r="V44" s="226"/>
      <c r="W44" s="226"/>
      <c r="X44" s="226"/>
      <c r="Y44" s="226"/>
      <c r="Z44" s="226"/>
      <c r="AA44" s="226"/>
      <c r="AB44" s="226"/>
      <c r="AC44" s="226"/>
      <c r="AD44" s="226"/>
      <c r="AE44" s="226"/>
      <c r="AF44" s="226"/>
      <c r="AG44" s="226"/>
      <c r="AH44" s="226"/>
      <c r="AI44" s="226"/>
      <c r="AJ44" s="226"/>
      <c r="AK44" s="226"/>
      <c r="AL44" s="226"/>
      <c r="AM44" s="226"/>
      <c r="AN44" s="226"/>
      <c r="AO44" s="226"/>
      <c r="AP44" s="226"/>
      <c r="AQ44" s="227"/>
    </row>
    <row r="45" spans="1:43" x14ac:dyDescent="0.25">
      <c r="A45" s="212" t="s">
        <v>130</v>
      </c>
      <c r="B45" s="213"/>
      <c r="C45" s="213"/>
      <c r="D45" s="213"/>
      <c r="E45" s="213"/>
      <c r="F45" s="213"/>
      <c r="G45" s="213"/>
      <c r="H45" s="213"/>
      <c r="I45" s="214"/>
      <c r="J45" s="112" t="str">
        <f>IF(OR(J12="",J12="e",J12="f",J12="p",J12=5),"Yes","No")</f>
        <v>Yes</v>
      </c>
      <c r="K45" s="112"/>
      <c r="L45" s="112" t="str">
        <f>IF(OR(L12="",L12="e",L12="f",L12="p",L12=5),"Yes","No")</f>
        <v>Yes</v>
      </c>
      <c r="M45" s="112"/>
      <c r="N45" s="112" t="str">
        <f>IF(OR(N12="",N12="e",N12="f",N12="p",N12=5),"Yes","No")</f>
        <v>Yes</v>
      </c>
      <c r="O45" s="112"/>
      <c r="P45" s="112" t="str">
        <f>IF(OR(P12="",P12="e",P12="f",P12="p",P12=5),"Yes","No")</f>
        <v>Yes</v>
      </c>
      <c r="Q45" s="112"/>
      <c r="R45" s="113"/>
      <c r="S45" s="228"/>
      <c r="T45" s="229"/>
      <c r="U45" s="229"/>
      <c r="V45" s="229"/>
      <c r="W45" s="229"/>
      <c r="X45" s="229"/>
      <c r="Y45" s="229"/>
      <c r="Z45" s="229"/>
      <c r="AA45" s="229"/>
      <c r="AB45" s="229"/>
      <c r="AC45" s="229"/>
      <c r="AD45" s="229"/>
      <c r="AE45" s="229"/>
      <c r="AF45" s="229"/>
      <c r="AG45" s="229"/>
      <c r="AH45" s="229"/>
      <c r="AI45" s="229"/>
      <c r="AJ45" s="229"/>
      <c r="AK45" s="229"/>
      <c r="AL45" s="229"/>
      <c r="AM45" s="229"/>
      <c r="AN45" s="229"/>
      <c r="AO45" s="229"/>
      <c r="AP45" s="229"/>
      <c r="AQ45" s="230"/>
    </row>
    <row r="46" spans="1:43" x14ac:dyDescent="0.25">
      <c r="A46" s="212" t="s">
        <v>131</v>
      </c>
      <c r="B46" s="213"/>
      <c r="C46" s="213"/>
      <c r="D46" s="213"/>
      <c r="E46" s="213"/>
      <c r="F46" s="213"/>
      <c r="G46" s="213"/>
      <c r="H46" s="213"/>
      <c r="I46" s="214"/>
      <c r="J46" s="112" t="str">
        <f>IF(J12&lt;&gt;"","N/A",IF(AND(J13="",J14="",J15="",J16="",J17=""),"Yes","No"))</f>
        <v>Yes</v>
      </c>
      <c r="K46" s="112"/>
      <c r="L46" s="112" t="str">
        <f>IF(L12&lt;&gt;"","N/A",IF(AND(L13="",L14="",L15="",L16="",L17=""),"Yes","No"))</f>
        <v>Yes</v>
      </c>
      <c r="M46" s="112"/>
      <c r="N46" s="112" t="str">
        <f>IF(N12&lt;&gt;"","N/A",IF(AND(N13="",N14="",N15="",N16="",N17=""),"Yes","No"))</f>
        <v>Yes</v>
      </c>
      <c r="O46" s="112"/>
      <c r="P46" s="112" t="str">
        <f>IF(P12&lt;&gt;"","N/A",IF(AND(P13="",P14="",P15="",P16="",P17=""),"Yes","No"))</f>
        <v>Yes</v>
      </c>
      <c r="Q46" s="112"/>
      <c r="R46" s="113"/>
      <c r="S46" s="228"/>
      <c r="T46" s="229"/>
      <c r="U46" s="229"/>
      <c r="V46" s="229"/>
      <c r="W46" s="229"/>
      <c r="X46" s="229"/>
      <c r="Y46" s="229"/>
      <c r="Z46" s="229"/>
      <c r="AA46" s="229"/>
      <c r="AB46" s="229"/>
      <c r="AC46" s="229"/>
      <c r="AD46" s="229"/>
      <c r="AE46" s="229"/>
      <c r="AF46" s="229"/>
      <c r="AG46" s="229"/>
      <c r="AH46" s="229"/>
      <c r="AI46" s="229"/>
      <c r="AJ46" s="229"/>
      <c r="AK46" s="229"/>
      <c r="AL46" s="229"/>
      <c r="AM46" s="229"/>
      <c r="AN46" s="229"/>
      <c r="AO46" s="229"/>
      <c r="AP46" s="229"/>
      <c r="AQ46" s="230"/>
    </row>
    <row r="47" spans="1:43" x14ac:dyDescent="0.25">
      <c r="A47" s="212" t="s">
        <v>132</v>
      </c>
      <c r="B47" s="213"/>
      <c r="C47" s="213"/>
      <c r="D47" s="213"/>
      <c r="E47" s="213"/>
      <c r="F47" s="213"/>
      <c r="G47" s="213"/>
      <c r="H47" s="213"/>
      <c r="I47" s="214"/>
      <c r="J47" s="112" t="str">
        <f>IF(J12&lt;&gt;"e","N/A",IF(AND(J13&lt;&gt;0,J14="",J15="",J16="x"),"Yes","No"))</f>
        <v>N/A</v>
      </c>
      <c r="K47" s="112"/>
      <c r="L47" s="112" t="str">
        <f>IF(L12&lt;&gt;"e","N/A",IF(AND(L13&lt;&gt;0,L14="",L15="",L16="x"),"Yes","No"))</f>
        <v>N/A</v>
      </c>
      <c r="M47" s="112"/>
      <c r="N47" s="112" t="str">
        <f>IF(N12&lt;&gt;"e","N/A",IF(AND(N13&lt;&gt;0,N14="",N15="",N16="x"),"Yes","No"))</f>
        <v>N/A</v>
      </c>
      <c r="O47" s="112"/>
      <c r="P47" s="112" t="str">
        <f>IF(P12&lt;&gt;"e","N/A",IF(AND(P13&lt;&gt;0,P14="",P15="",P16="x"),"Yes","No"))</f>
        <v>N/A</v>
      </c>
      <c r="Q47" s="112"/>
      <c r="R47" s="113"/>
      <c r="S47" s="228"/>
      <c r="T47" s="229"/>
      <c r="U47" s="229"/>
      <c r="V47" s="229"/>
      <c r="W47" s="229"/>
      <c r="X47" s="229"/>
      <c r="Y47" s="229"/>
      <c r="Z47" s="229"/>
      <c r="AA47" s="229"/>
      <c r="AB47" s="229"/>
      <c r="AC47" s="229"/>
      <c r="AD47" s="229"/>
      <c r="AE47" s="229"/>
      <c r="AF47" s="229"/>
      <c r="AG47" s="229"/>
      <c r="AH47" s="229"/>
      <c r="AI47" s="229"/>
      <c r="AJ47" s="229"/>
      <c r="AK47" s="229"/>
      <c r="AL47" s="229"/>
      <c r="AM47" s="229"/>
      <c r="AN47" s="229"/>
      <c r="AO47" s="229"/>
      <c r="AP47" s="229"/>
      <c r="AQ47" s="230"/>
    </row>
    <row r="48" spans="1:43" x14ac:dyDescent="0.25">
      <c r="A48" s="212" t="s">
        <v>133</v>
      </c>
      <c r="B48" s="213"/>
      <c r="C48" s="213"/>
      <c r="D48" s="213"/>
      <c r="E48" s="213"/>
      <c r="F48" s="213"/>
      <c r="G48" s="213"/>
      <c r="H48" s="213"/>
      <c r="I48" s="214"/>
      <c r="J48" s="112" t="str">
        <f>IF(J12&lt;&gt;"f","N/A",IF(J16="X",IF(J13&gt;0,"Yes","No"),IF(AND(J16="",J15="",J14&gt;0),"Yes","No")))</f>
        <v>N/A</v>
      </c>
      <c r="K48" s="112"/>
      <c r="L48" s="112" t="str">
        <f>IF(L12&lt;&gt;"f","N/A",IF(L16="X",IF(L13&gt;0,"Yes","No"),IF(AND(L16="",L15="",L14&gt;0),"Yes","No")))</f>
        <v>N/A</v>
      </c>
      <c r="M48" s="112"/>
      <c r="N48" s="112" t="str">
        <f>IF(N12&lt;&gt;"f","N/A",IF(N16="X",IF(N13&gt;0,"Yes","No"),IF(AND(N16="",N15="",N14&gt;0),"Yes","No")))</f>
        <v>N/A</v>
      </c>
      <c r="O48" s="112"/>
      <c r="P48" s="112" t="str">
        <f>IF(P12&lt;&gt;"f","N/A",IF(P16="X",IF(P13&gt;0,"Yes","No"),IF(AND(P16="",P15="",P14&gt;0),"Yes","No")))</f>
        <v>N/A</v>
      </c>
      <c r="Q48" s="112"/>
      <c r="R48" s="113"/>
      <c r="S48" s="228"/>
      <c r="T48" s="229"/>
      <c r="U48" s="229"/>
      <c r="V48" s="229"/>
      <c r="W48" s="229"/>
      <c r="X48" s="229"/>
      <c r="Y48" s="229"/>
      <c r="Z48" s="229"/>
      <c r="AA48" s="229"/>
      <c r="AB48" s="229"/>
      <c r="AC48" s="229"/>
      <c r="AD48" s="229"/>
      <c r="AE48" s="229"/>
      <c r="AF48" s="229"/>
      <c r="AG48" s="229"/>
      <c r="AH48" s="229"/>
      <c r="AI48" s="229"/>
      <c r="AJ48" s="229"/>
      <c r="AK48" s="229"/>
      <c r="AL48" s="229"/>
      <c r="AM48" s="229"/>
      <c r="AN48" s="229"/>
      <c r="AO48" s="229"/>
      <c r="AP48" s="229"/>
      <c r="AQ48" s="230"/>
    </row>
    <row r="49" spans="1:43" x14ac:dyDescent="0.25">
      <c r="A49" s="212" t="s">
        <v>134</v>
      </c>
      <c r="B49" s="213"/>
      <c r="C49" s="213"/>
      <c r="D49" s="213"/>
      <c r="E49" s="213"/>
      <c r="F49" s="213"/>
      <c r="G49" s="213"/>
      <c r="H49" s="213"/>
      <c r="I49" s="214"/>
      <c r="J49" s="112" t="str">
        <f>IF(J12&lt;&gt;5,"N/A",IF(J16="X",IF(J13&gt;0,"Yes","No"),IF(AND(J16="",J15="",J14&gt;0),"Yes","No")))</f>
        <v>N/A</v>
      </c>
      <c r="K49" s="112"/>
      <c r="L49" s="112" t="str">
        <f>IF(L12&lt;&gt;5,"N/A",IF(L16="X",IF(L13&gt;0,"Yes","No"),IF(AND(L16="",L15="",L14&gt;0),"Yes","No")))</f>
        <v>N/A</v>
      </c>
      <c r="M49" s="112"/>
      <c r="N49" s="112" t="str">
        <f>IF(N12&lt;&gt;5,"N/A",IF(N16="X",IF(N13&gt;0,"Yes","No"),IF(AND(N16="",N15="",N14&gt;0),"Yes","No")))</f>
        <v>N/A</v>
      </c>
      <c r="O49" s="112"/>
      <c r="P49" s="112" t="str">
        <f>IF(P12&lt;&gt;5,"N/A",IF(P16="X",IF(P13&gt;0,"Yes","No"),IF(AND(P16="",P15="",P14&gt;0),"Yes","No")))</f>
        <v>N/A</v>
      </c>
      <c r="Q49" s="112"/>
      <c r="R49" s="113"/>
      <c r="S49" s="228"/>
      <c r="T49" s="229"/>
      <c r="U49" s="229"/>
      <c r="V49" s="229"/>
      <c r="W49" s="229"/>
      <c r="X49" s="229"/>
      <c r="Y49" s="229"/>
      <c r="Z49" s="229"/>
      <c r="AA49" s="229"/>
      <c r="AB49" s="229"/>
      <c r="AC49" s="229"/>
      <c r="AD49" s="229"/>
      <c r="AE49" s="229"/>
      <c r="AF49" s="229"/>
      <c r="AG49" s="229"/>
      <c r="AH49" s="229"/>
      <c r="AI49" s="229"/>
      <c r="AJ49" s="229"/>
      <c r="AK49" s="229"/>
      <c r="AL49" s="229"/>
      <c r="AM49" s="229"/>
      <c r="AN49" s="229"/>
      <c r="AO49" s="229"/>
      <c r="AP49" s="229"/>
      <c r="AQ49" s="230"/>
    </row>
    <row r="50" spans="1:43" x14ac:dyDescent="0.25">
      <c r="A50" s="212" t="s">
        <v>135</v>
      </c>
      <c r="B50" s="213"/>
      <c r="C50" s="213"/>
      <c r="D50" s="213"/>
      <c r="E50" s="213"/>
      <c r="F50" s="213"/>
      <c r="G50" s="213"/>
      <c r="H50" s="213"/>
      <c r="I50" s="214"/>
      <c r="J50" s="112" t="str">
        <f>IF(J12&lt;&gt;"p","N/A",IF(AND(J14="",J15="",J16=""),"Yes","No"))</f>
        <v>N/A</v>
      </c>
      <c r="K50" s="112"/>
      <c r="L50" s="112" t="str">
        <f>IF(L12&lt;&gt;"p","N/A",IF(AND(L14="",L15="",L16=""),"Yes","No"))</f>
        <v>N/A</v>
      </c>
      <c r="M50" s="112"/>
      <c r="N50" s="112" t="str">
        <f>IF(N12&lt;&gt;"p","N/A",IF(AND(N14="",N15="",N16=""),"Yes","No"))</f>
        <v>N/A</v>
      </c>
      <c r="O50" s="112"/>
      <c r="P50" s="112" t="str">
        <f>IF(P12&lt;&gt;"p","N/A",IF(AND(P14="",P15="",P16=""),"Yes","No"))</f>
        <v>N/A</v>
      </c>
      <c r="Q50" s="112"/>
      <c r="R50" s="113"/>
      <c r="S50" s="228"/>
      <c r="T50" s="229"/>
      <c r="U50" s="229"/>
      <c r="V50" s="229"/>
      <c r="W50" s="229"/>
      <c r="X50" s="229"/>
      <c r="Y50" s="229"/>
      <c r="Z50" s="229"/>
      <c r="AA50" s="229"/>
      <c r="AB50" s="229"/>
      <c r="AC50" s="229"/>
      <c r="AD50" s="229"/>
      <c r="AE50" s="229"/>
      <c r="AF50" s="229"/>
      <c r="AG50" s="229"/>
      <c r="AH50" s="229"/>
      <c r="AI50" s="229"/>
      <c r="AJ50" s="229"/>
      <c r="AK50" s="229"/>
      <c r="AL50" s="229"/>
      <c r="AM50" s="229"/>
      <c r="AN50" s="229"/>
      <c r="AO50" s="229"/>
      <c r="AP50" s="229"/>
      <c r="AQ50" s="230"/>
    </row>
    <row r="51" spans="1:43" x14ac:dyDescent="0.25">
      <c r="A51" s="212" t="s">
        <v>128</v>
      </c>
      <c r="B51" s="213"/>
      <c r="C51" s="213"/>
      <c r="D51" s="213"/>
      <c r="E51" s="213"/>
      <c r="F51" s="213"/>
      <c r="G51" s="213"/>
      <c r="H51" s="213"/>
      <c r="I51" s="214"/>
      <c r="J51" s="112" t="str">
        <f>IF(AND(J45="Yes",COUNTIF(J46:J50,"No")=0),"Yes","No")</f>
        <v>Yes</v>
      </c>
      <c r="K51" s="112"/>
      <c r="L51" s="112" t="str">
        <f>IF(AND(L45="Yes",COUNTIF(L46:L50,"No")=0),"Yes","No")</f>
        <v>Yes</v>
      </c>
      <c r="M51" s="112"/>
      <c r="N51" s="112" t="str">
        <f>IF(AND(N45="Yes",COUNTIF(N46:N50,"No")=0),"Yes","No")</f>
        <v>Yes</v>
      </c>
      <c r="O51" s="112"/>
      <c r="P51" s="112" t="str">
        <f>IF(AND(P45="Yes",COUNTIF(P46:P50,"No")=0),"Yes","No")</f>
        <v>Yes</v>
      </c>
      <c r="Q51" s="112"/>
      <c r="R51" s="113" t="s">
        <v>2</v>
      </c>
      <c r="S51" s="231"/>
      <c r="T51" s="232"/>
      <c r="U51" s="232"/>
      <c r="V51" s="232"/>
      <c r="W51" s="232"/>
      <c r="X51" s="232"/>
      <c r="Y51" s="232"/>
      <c r="Z51" s="232"/>
      <c r="AA51" s="232"/>
      <c r="AB51" s="232"/>
      <c r="AC51" s="232"/>
      <c r="AD51" s="232"/>
      <c r="AE51" s="232"/>
      <c r="AF51" s="232"/>
      <c r="AG51" s="232"/>
      <c r="AH51" s="232"/>
      <c r="AI51" s="232"/>
      <c r="AJ51" s="232"/>
      <c r="AK51" s="232"/>
      <c r="AL51" s="232"/>
      <c r="AM51" s="232"/>
      <c r="AN51" s="232"/>
      <c r="AO51" s="232"/>
      <c r="AP51" s="232"/>
      <c r="AQ51" s="233"/>
    </row>
    <row r="52" spans="1:43" x14ac:dyDescent="0.25">
      <c r="J52" s="86"/>
    </row>
    <row r="61" spans="1:43" ht="15" customHeight="1" x14ac:dyDescent="0.25"/>
    <row r="75" ht="15" customHeight="1" x14ac:dyDescent="0.25"/>
    <row r="78" ht="15" customHeight="1" x14ac:dyDescent="0.25"/>
  </sheetData>
  <sheetProtection sheet="1" objects="1" scenarios="1"/>
  <mergeCells count="92">
    <mergeCell ref="A20:I20"/>
    <mergeCell ref="A21:I21"/>
    <mergeCell ref="A22:I22"/>
    <mergeCell ref="A23:I23"/>
    <mergeCell ref="A24:I24"/>
    <mergeCell ref="A14:I14"/>
    <mergeCell ref="A15:I15"/>
    <mergeCell ref="A16:I16"/>
    <mergeCell ref="A17:I17"/>
    <mergeCell ref="A19:I19"/>
    <mergeCell ref="B9:I9"/>
    <mergeCell ref="B10:I10"/>
    <mergeCell ref="A11:I11"/>
    <mergeCell ref="A12:I12"/>
    <mergeCell ref="A13:I13"/>
    <mergeCell ref="A2:AK2"/>
    <mergeCell ref="A5:I5"/>
    <mergeCell ref="A6:I6"/>
    <mergeCell ref="A7:I7"/>
    <mergeCell ref="B8:I8"/>
    <mergeCell ref="S5:AQ5"/>
    <mergeCell ref="S6:AQ6"/>
    <mergeCell ref="S7:AQ7"/>
    <mergeCell ref="S8:AQ8"/>
    <mergeCell ref="S33:AQ33"/>
    <mergeCell ref="S29:AQ29"/>
    <mergeCell ref="S22:AJ22"/>
    <mergeCell ref="S23:AJ23"/>
    <mergeCell ref="S24:AJ24"/>
    <mergeCell ref="S25:AJ25"/>
    <mergeCell ref="S26:AQ26"/>
    <mergeCell ref="S27:AQ27"/>
    <mergeCell ref="AK21:AQ25"/>
    <mergeCell ref="S32:AQ32"/>
    <mergeCell ref="S21:AJ21"/>
    <mergeCell ref="A49:I49"/>
    <mergeCell ref="A50:I50"/>
    <mergeCell ref="S41:AQ41"/>
    <mergeCell ref="S42:AQ42"/>
    <mergeCell ref="S43:AQ43"/>
    <mergeCell ref="A41:I41"/>
    <mergeCell ref="A42:I42"/>
    <mergeCell ref="A43:I43"/>
    <mergeCell ref="A46:I46"/>
    <mergeCell ref="A47:I47"/>
    <mergeCell ref="A48:I48"/>
    <mergeCell ref="S44:AQ51"/>
    <mergeCell ref="A51:I51"/>
    <mergeCell ref="A34:G34"/>
    <mergeCell ref="A35:G35"/>
    <mergeCell ref="A36:G36"/>
    <mergeCell ref="A25:I25"/>
    <mergeCell ref="A26:I26"/>
    <mergeCell ref="A27:I27"/>
    <mergeCell ref="A29:I29"/>
    <mergeCell ref="A40:I40"/>
    <mergeCell ref="A37:G37"/>
    <mergeCell ref="A38:G38"/>
    <mergeCell ref="A44:I44"/>
    <mergeCell ref="A45:I45"/>
    <mergeCell ref="S9:AQ9"/>
    <mergeCell ref="S10:AQ10"/>
    <mergeCell ref="S11:AQ11"/>
    <mergeCell ref="S12:AQ12"/>
    <mergeCell ref="S13:AQ13"/>
    <mergeCell ref="S14:AQ14"/>
    <mergeCell ref="S15:AQ15"/>
    <mergeCell ref="S16:AQ16"/>
    <mergeCell ref="S17:AQ17"/>
    <mergeCell ref="S20:AQ20"/>
    <mergeCell ref="S19:AQ19"/>
    <mergeCell ref="S34:AQ34"/>
    <mergeCell ref="S35:AQ35"/>
    <mergeCell ref="S36:AQ36"/>
    <mergeCell ref="S37:AQ37"/>
    <mergeCell ref="S38:AQ38"/>
    <mergeCell ref="S40:AQ40"/>
    <mergeCell ref="A1:AQ1"/>
    <mergeCell ref="A30:G30"/>
    <mergeCell ref="A31:G31"/>
    <mergeCell ref="A32:G32"/>
    <mergeCell ref="A33:G33"/>
    <mergeCell ref="AN3:AQ3"/>
    <mergeCell ref="AE3:AL3"/>
    <mergeCell ref="AC3:AD3"/>
    <mergeCell ref="G3:AB3"/>
    <mergeCell ref="A4:I4"/>
    <mergeCell ref="S4:AQ4"/>
    <mergeCell ref="A3:C3"/>
    <mergeCell ref="E3:F3"/>
    <mergeCell ref="S30:AQ30"/>
    <mergeCell ref="S31:AQ31"/>
  </mergeCells>
  <conditionalFormatting sqref="J30:Q30">
    <cfRule type="cellIs" dxfId="74" priority="210" operator="notEqual">
      <formula>20</formula>
    </cfRule>
  </conditionalFormatting>
  <conditionalFormatting sqref="J31:Q31">
    <cfRule type="cellIs" dxfId="73" priority="209" operator="notEqual">
      <formula>3</formula>
    </cfRule>
  </conditionalFormatting>
  <conditionalFormatting sqref="Q32 O32 M32 K32">
    <cfRule type="cellIs" dxfId="72" priority="208" operator="notEqual">
      <formula>7</formula>
    </cfRule>
  </conditionalFormatting>
  <conditionalFormatting sqref="Q33 O33 M33 K33">
    <cfRule type="cellIs" dxfId="71" priority="207" operator="notEqual">
      <formula>88</formula>
    </cfRule>
  </conditionalFormatting>
  <conditionalFormatting sqref="Q34 O34 M34 K34">
    <cfRule type="cellIs" dxfId="70" priority="206" operator="notEqual">
      <formula>21</formula>
    </cfRule>
  </conditionalFormatting>
  <conditionalFormatting sqref="Q35 O35 M35 K35">
    <cfRule type="cellIs" dxfId="69" priority="204" operator="notEqual">
      <formula>600</formula>
    </cfRule>
  </conditionalFormatting>
  <conditionalFormatting sqref="Q36 O36 M36 K36">
    <cfRule type="cellIs" dxfId="68" priority="203" operator="notEqual">
      <formula>900</formula>
    </cfRule>
  </conditionalFormatting>
  <conditionalFormatting sqref="Q37 O37 M37 K37">
    <cfRule type="cellIs" dxfId="67" priority="200" operator="notEqual">
      <formula>35</formula>
    </cfRule>
  </conditionalFormatting>
  <conditionalFormatting sqref="P38 N38 J38 L38">
    <cfRule type="cellIs" dxfId="66" priority="195" operator="notEqual">
      <formula>20</formula>
    </cfRule>
  </conditionalFormatting>
  <conditionalFormatting sqref="J12 L12 N12 P12">
    <cfRule type="expression" dxfId="65" priority="46" stopIfTrue="1">
      <formula>IF(OR(J12="",J12="E",J12="F",J12=5,J12="P"),FALSE,TRUE)</formula>
    </cfRule>
  </conditionalFormatting>
  <conditionalFormatting sqref="K25">
    <cfRule type="expression" dxfId="64" priority="162">
      <formula>IF(K25&lt;MAX(K24,K22),TRUE,FALSE)</formula>
    </cfRule>
  </conditionalFormatting>
  <conditionalFormatting sqref="S25:AJ25 A25:I25">
    <cfRule type="expression" dxfId="63" priority="158">
      <formula>IF(OR($K$25&lt;MAX($K$24,$K$22),$M$25&lt;MAX($M$24,$M$22),$O$25&lt;MAX($O$24,$O$22),$Q$25&lt;MAX($Q$24,$Q$22)),TRUE,FALSE)</formula>
    </cfRule>
  </conditionalFormatting>
  <conditionalFormatting sqref="K6">
    <cfRule type="expression" dxfId="62" priority="156">
      <formula>IF(AND(K5&lt;&gt;0,K5&lt;&gt;""),TRUE,FALSE)</formula>
    </cfRule>
  </conditionalFormatting>
  <conditionalFormatting sqref="M6">
    <cfRule type="expression" dxfId="61" priority="152">
      <formula>IF(AND(M5&lt;&gt;0,M5&lt;&gt;""),TRUE,FALSE)</formula>
    </cfRule>
  </conditionalFormatting>
  <conditionalFormatting sqref="O6">
    <cfRule type="expression" dxfId="60" priority="151">
      <formula>IF(AND(O5&lt;&gt;0,O5&lt;&gt;""),TRUE,FALSE)</formula>
    </cfRule>
  </conditionalFormatting>
  <conditionalFormatting sqref="Q6">
    <cfRule type="expression" dxfId="59" priority="150">
      <formula>IF(AND(Q5&lt;&gt;0,Q5&lt;&gt;""),TRUE,FALSE)</formula>
    </cfRule>
  </conditionalFormatting>
  <conditionalFormatting sqref="K5:K6">
    <cfRule type="expression" dxfId="58" priority="149">
      <formula>IF(AND(OR(K$5=0,K$5=""),OR(K$6=0,K$6="")),TRUE,FALSE)</formula>
    </cfRule>
  </conditionalFormatting>
  <conditionalFormatting sqref="M6">
    <cfRule type="expression" dxfId="57" priority="148">
      <formula>IF(AND(M5&lt;&gt;0,M5&lt;&gt;""),TRUE,FALSE)</formula>
    </cfRule>
  </conditionalFormatting>
  <conditionalFormatting sqref="M5 O5 Q5">
    <cfRule type="expression" dxfId="56" priority="147">
      <formula>IF(AND(OR(M5=0,M5=""),OR(M6=0,M6="")),TRUE,FALSE)</formula>
    </cfRule>
  </conditionalFormatting>
  <conditionalFormatting sqref="O6">
    <cfRule type="expression" dxfId="55" priority="146">
      <formula>IF(AND(O5&lt;&gt;0,O5&lt;&gt;""),TRUE,FALSE)</formula>
    </cfRule>
  </conditionalFormatting>
  <conditionalFormatting sqref="Q6">
    <cfRule type="expression" dxfId="54" priority="144">
      <formula>IF(AND(Q5&lt;&gt;0,Q5&lt;&gt;""),TRUE,FALSE)</formula>
    </cfRule>
  </conditionalFormatting>
  <conditionalFormatting sqref="M6">
    <cfRule type="expression" dxfId="53" priority="142">
      <formula>IF(AND(M5&lt;&gt;0,M5&lt;&gt;""),TRUE,FALSE)</formula>
    </cfRule>
  </conditionalFormatting>
  <conditionalFormatting sqref="M5:M6">
    <cfRule type="expression" dxfId="52" priority="141">
      <formula>IF(AND(OR(M$5=0,M$5=""),OR(M$6=0,M$6="")),TRUE,FALSE)</formula>
    </cfRule>
  </conditionalFormatting>
  <conditionalFormatting sqref="O6">
    <cfRule type="expression" dxfId="51" priority="140">
      <formula>IF(AND(O5&lt;&gt;0,O5&lt;&gt;""),TRUE,FALSE)</formula>
    </cfRule>
  </conditionalFormatting>
  <conditionalFormatting sqref="O5:O6">
    <cfRule type="expression" dxfId="50" priority="139">
      <formula>IF(AND(OR(O$5=0,O$5=""),OR(O$6=0,O$6="")),TRUE,FALSE)</formula>
    </cfRule>
  </conditionalFormatting>
  <conditionalFormatting sqref="Q6">
    <cfRule type="expression" dxfId="49" priority="138">
      <formula>IF(AND(Q5&lt;&gt;0,Q5&lt;&gt;""),TRUE,FALSE)</formula>
    </cfRule>
  </conditionalFormatting>
  <conditionalFormatting sqref="Q5:Q6">
    <cfRule type="expression" dxfId="48" priority="137">
      <formula>IF(AND(OR(Q$5=0,Q$5=""),OR(Q$6=0,Q$6="")),TRUE,FALSE)</formula>
    </cfRule>
  </conditionalFormatting>
  <conditionalFormatting sqref="M6 O6 Q6">
    <cfRule type="expression" dxfId="47" priority="258">
      <formula>IF(AND(OR(M6=0,M6=""),OR(M13=0,M13="")),TRUE,FALSE)</formula>
    </cfRule>
  </conditionalFormatting>
  <conditionalFormatting sqref="K7 M7 O7 Q7">
    <cfRule type="cellIs" dxfId="46" priority="136" operator="equal">
      <formula>""</formula>
    </cfRule>
  </conditionalFormatting>
  <conditionalFormatting sqref="K11 M11 O11 Q11">
    <cfRule type="expression" dxfId="45" priority="135">
      <formula>IF(OR(K11="L",K11="X",K11="A",K11=""),FALSE,TRUE)</formula>
    </cfRule>
  </conditionalFormatting>
  <conditionalFormatting sqref="J13">
    <cfRule type="expression" dxfId="44" priority="103">
      <formula>IF(J51="No",TRUE,FALSE)</formula>
    </cfRule>
    <cfRule type="expression" dxfId="43" priority="111">
      <formula>IF(AND(J12&lt;&gt;"P",J12&lt;&gt;"E",J12&lt;&gt;5,J12&lt;&gt;"F"),TRUE,FALSE)</formula>
    </cfRule>
  </conditionalFormatting>
  <conditionalFormatting sqref="J14">
    <cfRule type="expression" dxfId="42" priority="102">
      <formula>IF(J51="No",TRUE,FALSE)</formula>
    </cfRule>
    <cfRule type="expression" dxfId="41" priority="130">
      <formula>IF(OR(J12="F",J12=5),FALSE,TRUE)</formula>
    </cfRule>
  </conditionalFormatting>
  <conditionalFormatting sqref="J15">
    <cfRule type="expression" dxfId="40" priority="101">
      <formula>IF(J51="No",TRUE,FALSE)</formula>
    </cfRule>
    <cfRule type="expression" dxfId="39" priority="126">
      <formula>IF(AND(J12&lt;&gt;"F",J12&lt;&gt;5),TRUE,FALSE)</formula>
    </cfRule>
  </conditionalFormatting>
  <conditionalFormatting sqref="J16">
    <cfRule type="expression" dxfId="38" priority="104">
      <formula>IF(J51="No",TRUE,FALSE)</formula>
    </cfRule>
    <cfRule type="expression" dxfId="37" priority="122">
      <formula>IF(OR(J12="e",J12="f",J12=5),FALSE,TRUE)</formula>
    </cfRule>
  </conditionalFormatting>
  <conditionalFormatting sqref="J17">
    <cfRule type="expression" dxfId="36" priority="118">
      <formula>IF(J12="",TRUE,FALSE)</formula>
    </cfRule>
  </conditionalFormatting>
  <conditionalFormatting sqref="J12">
    <cfRule type="expression" dxfId="35" priority="190">
      <formula>IF(J51="No",TRUE,FALSE)</formula>
    </cfRule>
  </conditionalFormatting>
  <conditionalFormatting sqref="L12">
    <cfRule type="expression" dxfId="34" priority="76">
      <formula>IF(L51="No",TRUE,FALSE)</formula>
    </cfRule>
  </conditionalFormatting>
  <conditionalFormatting sqref="N12">
    <cfRule type="expression" dxfId="33" priority="66">
      <formula>IF(N51="No",TRUE,FALSE)</formula>
    </cfRule>
  </conditionalFormatting>
  <conditionalFormatting sqref="P12">
    <cfRule type="expression" dxfId="32" priority="56">
      <formula>IF(P51="No",TRUE,FALSE)</formula>
    </cfRule>
  </conditionalFormatting>
  <conditionalFormatting sqref="L13">
    <cfRule type="expression" dxfId="31" priority="38">
      <formula>IF(L51="No",TRUE,FALSE)</formula>
    </cfRule>
    <cfRule type="expression" dxfId="30" priority="39">
      <formula>IF(AND(L12&lt;&gt;"P",L12&lt;&gt;"E",L12&lt;&gt;5,L12&lt;&gt;"F"),TRUE,FALSE)</formula>
    </cfRule>
  </conditionalFormatting>
  <conditionalFormatting sqref="L14">
    <cfRule type="expression" dxfId="29" priority="36">
      <formula>IF(L51="No",TRUE,FALSE)</formula>
    </cfRule>
    <cfRule type="expression" dxfId="28" priority="37">
      <formula>IF(OR(L12="F",L12=5),FALSE,TRUE)</formula>
    </cfRule>
  </conditionalFormatting>
  <conditionalFormatting sqref="L15">
    <cfRule type="expression" dxfId="27" priority="34">
      <formula>IF(L51="No",TRUE,FALSE)</formula>
    </cfRule>
    <cfRule type="expression" dxfId="26" priority="35">
      <formula>IF(AND(L12&lt;&gt;"F",L12&lt;&gt;5),TRUE,FALSE)</formula>
    </cfRule>
  </conditionalFormatting>
  <conditionalFormatting sqref="L16">
    <cfRule type="expression" dxfId="25" priority="32">
      <formula>IF(L51="No",TRUE,FALSE)</formula>
    </cfRule>
    <cfRule type="expression" dxfId="24" priority="33">
      <formula>IF(OR(L12="e",L12="f",L12=5),FALSE,TRUE)</formula>
    </cfRule>
  </conditionalFormatting>
  <conditionalFormatting sqref="L17">
    <cfRule type="expression" dxfId="23" priority="31">
      <formula>IF(L12="",TRUE,FALSE)</formula>
    </cfRule>
  </conditionalFormatting>
  <conditionalFormatting sqref="N13">
    <cfRule type="expression" dxfId="22" priority="29">
      <formula>IF(N51="No",TRUE,FALSE)</formula>
    </cfRule>
    <cfRule type="expression" dxfId="21" priority="30">
      <formula>IF(AND(N12&lt;&gt;"P",N12&lt;&gt;"E",N12&lt;&gt;5,N12&lt;&gt;"F"),TRUE,FALSE)</formula>
    </cfRule>
  </conditionalFormatting>
  <conditionalFormatting sqref="N14">
    <cfRule type="expression" dxfId="20" priority="27">
      <formula>IF(N51="No",TRUE,FALSE)</formula>
    </cfRule>
    <cfRule type="expression" dxfId="19" priority="28">
      <formula>IF(OR(N12="F",N12=5),FALSE,TRUE)</formula>
    </cfRule>
  </conditionalFormatting>
  <conditionalFormatting sqref="N15">
    <cfRule type="expression" dxfId="18" priority="25">
      <formula>IF(N51="No",TRUE,FALSE)</formula>
    </cfRule>
    <cfRule type="expression" dxfId="17" priority="26">
      <formula>IF(AND(N12&lt;&gt;"F",N12&lt;&gt;5),TRUE,FALSE)</formula>
    </cfRule>
  </conditionalFormatting>
  <conditionalFormatting sqref="N16">
    <cfRule type="expression" dxfId="16" priority="23">
      <formula>IF(N51="No",TRUE,FALSE)</formula>
    </cfRule>
    <cfRule type="expression" dxfId="15" priority="24">
      <formula>IF(OR(N12="e",N12="f",N12=5),FALSE,TRUE)</formula>
    </cfRule>
  </conditionalFormatting>
  <conditionalFormatting sqref="N17">
    <cfRule type="expression" dxfId="14" priority="22">
      <formula>IF(N12="",TRUE,FALSE)</formula>
    </cfRule>
  </conditionalFormatting>
  <conditionalFormatting sqref="P13">
    <cfRule type="expression" dxfId="13" priority="20">
      <formula>IF(P51="No",TRUE,FALSE)</formula>
    </cfRule>
    <cfRule type="expression" dxfId="12" priority="21">
      <formula>IF(AND(P12&lt;&gt;"P",P12&lt;&gt;"E",P12&lt;&gt;5,P12&lt;&gt;"F"),TRUE,FALSE)</formula>
    </cfRule>
  </conditionalFormatting>
  <conditionalFormatting sqref="P14">
    <cfRule type="expression" dxfId="11" priority="18">
      <formula>IF(P51="No",TRUE,FALSE)</formula>
    </cfRule>
    <cfRule type="expression" dxfId="10" priority="19">
      <formula>IF(OR(P12="F",P12=5),FALSE,TRUE)</formula>
    </cfRule>
  </conditionalFormatting>
  <conditionalFormatting sqref="P15">
    <cfRule type="expression" dxfId="9" priority="16">
      <formula>IF(P51="No",TRUE,FALSE)</formula>
    </cfRule>
    <cfRule type="expression" dxfId="8" priority="17">
      <formula>IF(AND(P12&lt;&gt;"F",P12&lt;&gt;5),TRUE,FALSE)</formula>
    </cfRule>
  </conditionalFormatting>
  <conditionalFormatting sqref="P16">
    <cfRule type="expression" dxfId="7" priority="14">
      <formula>IF(P51="No",TRUE,FALSE)</formula>
    </cfRule>
    <cfRule type="expression" dxfId="6" priority="15">
      <formula>IF(OR(P12="e",P12="f",P12=5),FALSE,TRUE)</formula>
    </cfRule>
  </conditionalFormatting>
  <conditionalFormatting sqref="P17">
    <cfRule type="expression" dxfId="5" priority="13">
      <formula>IF(P12="",TRUE,FALSE)</formula>
    </cfRule>
  </conditionalFormatting>
  <conditionalFormatting sqref="M25">
    <cfRule type="expression" dxfId="4" priority="3">
      <formula>IF(M25&lt;MAX(M24,M22),TRUE,FALSE)</formula>
    </cfRule>
  </conditionalFormatting>
  <conditionalFormatting sqref="O25">
    <cfRule type="expression" dxfId="3" priority="2">
      <formula>IF(O25&lt;MAX(O24,O22),TRUE,FALSE)</formula>
    </cfRule>
  </conditionalFormatting>
  <conditionalFormatting sqref="Q25">
    <cfRule type="expression" dxfId="2" priority="1">
      <formula>IF(Q25&lt;MAX(Q24,Q22),TRUE,FALSE)</formula>
    </cfRule>
  </conditionalFormatting>
  <pageMargins left="0.7" right="0.7" top="0.75" bottom="0.75" header="0.3" footer="0.3"/>
  <pageSetup orientation="landscape"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B65"/>
  <sheetViews>
    <sheetView showGridLines="0" zoomScaleNormal="100" workbookViewId="0">
      <selection sqref="A1:B1"/>
    </sheetView>
  </sheetViews>
  <sheetFormatPr defaultRowHeight="15" x14ac:dyDescent="0.25"/>
  <cols>
    <col min="1" max="1" width="5.28515625" style="134" customWidth="1"/>
    <col min="2" max="2" width="217.85546875" style="137" customWidth="1"/>
    <col min="3" max="16384" width="9.140625" style="134"/>
  </cols>
  <sheetData>
    <row r="1" spans="1:2" ht="22.5" x14ac:dyDescent="0.3">
      <c r="A1" s="259" t="s">
        <v>209</v>
      </c>
      <c r="B1" s="259"/>
    </row>
    <row r="2" spans="1:2" ht="15.75" x14ac:dyDescent="0.3">
      <c r="A2" s="260" t="str">
        <f>'Interactive Form'!A2:AK2</f>
        <v>Form Revision: 4/9/2019 by MDL</v>
      </c>
      <c r="B2" s="260"/>
    </row>
    <row r="4" spans="1:2" ht="15.75" x14ac:dyDescent="0.25">
      <c r="A4" s="263" t="s">
        <v>160</v>
      </c>
      <c r="B4" s="263"/>
    </row>
    <row r="5" spans="1:2" x14ac:dyDescent="0.25">
      <c r="A5" s="264" t="s">
        <v>161</v>
      </c>
      <c r="B5" s="264"/>
    </row>
    <row r="6" spans="1:2" x14ac:dyDescent="0.25">
      <c r="A6" s="264" t="s">
        <v>162</v>
      </c>
      <c r="B6" s="264"/>
    </row>
    <row r="7" spans="1:2" ht="30" customHeight="1" x14ac:dyDescent="0.25">
      <c r="A7" s="264" t="s">
        <v>167</v>
      </c>
      <c r="B7" s="264"/>
    </row>
    <row r="8" spans="1:2" ht="30" customHeight="1" x14ac:dyDescent="0.25">
      <c r="A8" s="264" t="s">
        <v>168</v>
      </c>
      <c r="B8" s="264"/>
    </row>
    <row r="9" spans="1:2" ht="30" customHeight="1" x14ac:dyDescent="0.25">
      <c r="A9" s="264" t="s">
        <v>220</v>
      </c>
      <c r="B9" s="264"/>
    </row>
    <row r="10" spans="1:2" x14ac:dyDescent="0.25">
      <c r="A10" s="264" t="s">
        <v>170</v>
      </c>
      <c r="B10" s="264"/>
    </row>
    <row r="11" spans="1:2" x14ac:dyDescent="0.25">
      <c r="A11" s="264" t="s">
        <v>171</v>
      </c>
      <c r="B11" s="264"/>
    </row>
    <row r="12" spans="1:2" x14ac:dyDescent="0.25">
      <c r="A12" s="135"/>
      <c r="B12" s="136"/>
    </row>
    <row r="13" spans="1:2" ht="15.75" x14ac:dyDescent="0.25">
      <c r="A13" s="261" t="s">
        <v>207</v>
      </c>
      <c r="B13" s="261"/>
    </row>
    <row r="14" spans="1:2" ht="30" customHeight="1" x14ac:dyDescent="0.25">
      <c r="A14" s="265" t="s">
        <v>193</v>
      </c>
      <c r="B14" s="265"/>
    </row>
    <row r="15" spans="1:2" ht="15" customHeight="1" x14ac:dyDescent="0.25">
      <c r="A15" s="144">
        <v>1</v>
      </c>
      <c r="B15" s="145" t="s">
        <v>169</v>
      </c>
    </row>
    <row r="16" spans="1:2" ht="30" x14ac:dyDescent="0.25">
      <c r="A16" s="141"/>
      <c r="B16" s="139" t="s">
        <v>164</v>
      </c>
    </row>
    <row r="17" spans="1:2" x14ac:dyDescent="0.25">
      <c r="A17" s="141"/>
      <c r="B17" s="138" t="s">
        <v>165</v>
      </c>
    </row>
    <row r="18" spans="1:2" x14ac:dyDescent="0.25">
      <c r="A18" s="146"/>
      <c r="B18" s="147" t="s">
        <v>166</v>
      </c>
    </row>
    <row r="19" spans="1:2" x14ac:dyDescent="0.25">
      <c r="A19" s="144">
        <v>2</v>
      </c>
      <c r="B19" s="148" t="s">
        <v>172</v>
      </c>
    </row>
    <row r="20" spans="1:2" x14ac:dyDescent="0.25">
      <c r="A20" s="142"/>
      <c r="B20" s="138" t="s">
        <v>173</v>
      </c>
    </row>
    <row r="21" spans="1:2" x14ac:dyDescent="0.25">
      <c r="A21" s="141"/>
      <c r="B21" s="139" t="s">
        <v>232</v>
      </c>
    </row>
    <row r="22" spans="1:2" x14ac:dyDescent="0.25">
      <c r="A22" s="141"/>
      <c r="B22" s="139" t="s">
        <v>174</v>
      </c>
    </row>
    <row r="23" spans="1:2" x14ac:dyDescent="0.25">
      <c r="A23" s="146"/>
      <c r="B23" s="149" t="s">
        <v>175</v>
      </c>
    </row>
    <row r="24" spans="1:2" x14ac:dyDescent="0.25">
      <c r="A24" s="150">
        <v>3</v>
      </c>
      <c r="B24" s="151" t="s">
        <v>176</v>
      </c>
    </row>
    <row r="25" spans="1:2" x14ac:dyDescent="0.25">
      <c r="A25" s="144">
        <v>4</v>
      </c>
      <c r="B25" s="148" t="s">
        <v>177</v>
      </c>
    </row>
    <row r="26" spans="1:2" ht="15" customHeight="1" x14ac:dyDescent="0.25">
      <c r="A26" s="141"/>
      <c r="B26" s="139" t="s">
        <v>178</v>
      </c>
    </row>
    <row r="27" spans="1:2" x14ac:dyDescent="0.25">
      <c r="A27" s="141"/>
      <c r="B27" s="139" t="s">
        <v>179</v>
      </c>
    </row>
    <row r="28" spans="1:2" x14ac:dyDescent="0.25">
      <c r="A28" s="141"/>
      <c r="B28" s="139" t="s">
        <v>180</v>
      </c>
    </row>
    <row r="29" spans="1:2" x14ac:dyDescent="0.25">
      <c r="A29" s="141"/>
      <c r="B29" s="139" t="s">
        <v>181</v>
      </c>
    </row>
    <row r="30" spans="1:2" x14ac:dyDescent="0.25">
      <c r="A30" s="146"/>
      <c r="B30" s="149" t="s">
        <v>182</v>
      </c>
    </row>
    <row r="31" spans="1:2" ht="30" x14ac:dyDescent="0.25">
      <c r="A31" s="150">
        <v>5</v>
      </c>
      <c r="B31" s="151" t="s">
        <v>183</v>
      </c>
    </row>
    <row r="32" spans="1:2" x14ac:dyDescent="0.25">
      <c r="A32" s="152">
        <v>6</v>
      </c>
      <c r="B32" s="153" t="s">
        <v>185</v>
      </c>
    </row>
    <row r="33" spans="1:2" x14ac:dyDescent="0.25">
      <c r="A33" s="154"/>
      <c r="B33" s="155" t="s">
        <v>184</v>
      </c>
    </row>
    <row r="34" spans="1:2" x14ac:dyDescent="0.25">
      <c r="A34" s="154"/>
      <c r="B34" s="155" t="s">
        <v>186</v>
      </c>
    </row>
    <row r="35" spans="1:2" x14ac:dyDescent="0.25">
      <c r="A35" s="154"/>
      <c r="B35" s="155" t="s">
        <v>187</v>
      </c>
    </row>
    <row r="36" spans="1:2" x14ac:dyDescent="0.25">
      <c r="A36" s="156"/>
      <c r="B36" s="157" t="s">
        <v>188</v>
      </c>
    </row>
    <row r="37" spans="1:2" x14ac:dyDescent="0.25">
      <c r="A37" s="143">
        <v>7</v>
      </c>
      <c r="B37" s="140" t="s">
        <v>221</v>
      </c>
    </row>
    <row r="38" spans="1:2" x14ac:dyDescent="0.25">
      <c r="A38" s="143"/>
      <c r="B38" s="140" t="s">
        <v>222</v>
      </c>
    </row>
    <row r="39" spans="1:2" x14ac:dyDescent="0.25">
      <c r="A39" s="143"/>
      <c r="B39" s="140" t="s">
        <v>216</v>
      </c>
    </row>
    <row r="40" spans="1:2" x14ac:dyDescent="0.25">
      <c r="A40" s="143"/>
      <c r="B40" s="140" t="s">
        <v>217</v>
      </c>
    </row>
    <row r="41" spans="1:2" x14ac:dyDescent="0.25">
      <c r="A41" s="143"/>
      <c r="B41" s="140" t="s">
        <v>218</v>
      </c>
    </row>
    <row r="42" spans="1:2" x14ac:dyDescent="0.25">
      <c r="A42" s="143"/>
      <c r="B42" s="140" t="s">
        <v>189</v>
      </c>
    </row>
    <row r="43" spans="1:2" ht="30" x14ac:dyDescent="0.25">
      <c r="A43" s="158">
        <v>8</v>
      </c>
      <c r="B43" s="159" t="s">
        <v>190</v>
      </c>
    </row>
    <row r="44" spans="1:2" x14ac:dyDescent="0.25">
      <c r="A44" s="143">
        <v>9</v>
      </c>
      <c r="B44" s="140" t="s">
        <v>191</v>
      </c>
    </row>
    <row r="45" spans="1:2" x14ac:dyDescent="0.25">
      <c r="A45" s="158">
        <v>10</v>
      </c>
      <c r="B45" s="159" t="s">
        <v>192</v>
      </c>
    </row>
    <row r="46" spans="1:2" ht="30" x14ac:dyDescent="0.25">
      <c r="A46" s="143">
        <v>11</v>
      </c>
      <c r="B46" s="140" t="s">
        <v>233</v>
      </c>
    </row>
    <row r="47" spans="1:2" ht="30" x14ac:dyDescent="0.25">
      <c r="A47" s="158">
        <v>12</v>
      </c>
      <c r="B47" s="159" t="s">
        <v>219</v>
      </c>
    </row>
    <row r="48" spans="1:2" ht="30" x14ac:dyDescent="0.25">
      <c r="A48" s="143">
        <v>13</v>
      </c>
      <c r="B48" s="140" t="s">
        <v>200</v>
      </c>
    </row>
    <row r="49" spans="1:2" ht="30" x14ac:dyDescent="0.25">
      <c r="A49" s="158">
        <v>14</v>
      </c>
      <c r="B49" s="159" t="s">
        <v>197</v>
      </c>
    </row>
    <row r="50" spans="1:2" x14ac:dyDescent="0.25">
      <c r="A50" s="143">
        <v>15</v>
      </c>
      <c r="B50" s="140" t="s">
        <v>196</v>
      </c>
    </row>
    <row r="51" spans="1:2" x14ac:dyDescent="0.25">
      <c r="A51" s="143"/>
      <c r="B51" s="140" t="s">
        <v>194</v>
      </c>
    </row>
    <row r="52" spans="1:2" x14ac:dyDescent="0.25">
      <c r="A52" s="143"/>
      <c r="B52" s="140" t="s">
        <v>195</v>
      </c>
    </row>
    <row r="53" spans="1:2" ht="30" x14ac:dyDescent="0.25">
      <c r="A53" s="152">
        <v>16</v>
      </c>
      <c r="B53" s="153" t="s">
        <v>234</v>
      </c>
    </row>
    <row r="54" spans="1:2" x14ac:dyDescent="0.25">
      <c r="A54" s="154"/>
      <c r="B54" s="155" t="s">
        <v>198</v>
      </c>
    </row>
    <row r="55" spans="1:2" x14ac:dyDescent="0.25">
      <c r="A55" s="156"/>
      <c r="B55" s="157" t="s">
        <v>199</v>
      </c>
    </row>
    <row r="56" spans="1:2" x14ac:dyDescent="0.25">
      <c r="A56" s="143">
        <v>17</v>
      </c>
      <c r="B56" s="140" t="s">
        <v>201</v>
      </c>
    </row>
    <row r="57" spans="1:2" x14ac:dyDescent="0.25">
      <c r="A57" s="143"/>
      <c r="B57" s="140" t="s">
        <v>202</v>
      </c>
    </row>
    <row r="58" spans="1:2" x14ac:dyDescent="0.25">
      <c r="A58" s="143"/>
      <c r="B58" s="140" t="s">
        <v>203</v>
      </c>
    </row>
    <row r="59" spans="1:2" x14ac:dyDescent="0.25">
      <c r="A59" s="143"/>
      <c r="B59" s="140" t="s">
        <v>204</v>
      </c>
    </row>
    <row r="60" spans="1:2" x14ac:dyDescent="0.25">
      <c r="A60" s="143"/>
      <c r="B60" s="140" t="s">
        <v>205</v>
      </c>
    </row>
    <row r="61" spans="1:2" ht="30" x14ac:dyDescent="0.25">
      <c r="A61" s="143"/>
      <c r="B61" s="140" t="s">
        <v>235</v>
      </c>
    </row>
    <row r="62" spans="1:2" ht="30" x14ac:dyDescent="0.25">
      <c r="A62" s="158">
        <v>18</v>
      </c>
      <c r="B62" s="159" t="s">
        <v>206</v>
      </c>
    </row>
    <row r="64" spans="1:2" ht="15.75" x14ac:dyDescent="0.25">
      <c r="A64" s="261" t="s">
        <v>163</v>
      </c>
      <c r="B64" s="261"/>
    </row>
    <row r="65" spans="1:2" ht="30" customHeight="1" x14ac:dyDescent="0.25">
      <c r="A65" s="262" t="s">
        <v>223</v>
      </c>
      <c r="B65" s="262"/>
    </row>
  </sheetData>
  <sheetProtection sheet="1" objects="1" scenarios="1"/>
  <mergeCells count="14">
    <mergeCell ref="A1:B1"/>
    <mergeCell ref="A2:B2"/>
    <mergeCell ref="A64:B64"/>
    <mergeCell ref="A65:B65"/>
    <mergeCell ref="A4:B4"/>
    <mergeCell ref="A6:B6"/>
    <mergeCell ref="A7:B7"/>
    <mergeCell ref="A8:B8"/>
    <mergeCell ref="A10:B10"/>
    <mergeCell ref="A5:B5"/>
    <mergeCell ref="A9:B9"/>
    <mergeCell ref="A13:B13"/>
    <mergeCell ref="A11:B11"/>
    <mergeCell ref="A14:B14"/>
  </mergeCells>
  <pageMargins left="0.25" right="0.25" top="0.75" bottom="0.75" header="0.3" footer="0.3"/>
  <pageSetup scale="59" fitToHeight="0" orientation="landscape" r:id="rId1"/>
  <headerFooter>
    <oddFoote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8"/>
  <sheetViews>
    <sheetView showGridLines="0" workbookViewId="0">
      <selection sqref="A1:E1"/>
    </sheetView>
  </sheetViews>
  <sheetFormatPr defaultRowHeight="15" x14ac:dyDescent="0.25"/>
  <cols>
    <col min="1" max="1" width="5.28515625" style="126" customWidth="1"/>
    <col min="2" max="2" width="85" style="126" customWidth="1"/>
    <col min="3" max="3" width="1.85546875" style="126" customWidth="1"/>
    <col min="4" max="4" width="5.28515625" style="126" customWidth="1"/>
    <col min="5" max="5" width="85" style="126" customWidth="1"/>
    <col min="6" max="16384" width="9.140625" style="126"/>
  </cols>
  <sheetData>
    <row r="1" spans="1:5" ht="22.5" x14ac:dyDescent="0.3">
      <c r="A1" s="259" t="s">
        <v>208</v>
      </c>
      <c r="B1" s="259"/>
      <c r="C1" s="259"/>
      <c r="D1" s="259"/>
      <c r="E1" s="259"/>
    </row>
    <row r="2" spans="1:5" ht="15.75" x14ac:dyDescent="0.3">
      <c r="A2" s="268" t="str">
        <f>'Interactive Form'!A2</f>
        <v>Form Revision: 4/9/2019 by MDL</v>
      </c>
      <c r="B2" s="268"/>
      <c r="C2" s="268"/>
      <c r="D2" s="268"/>
      <c r="E2" s="268"/>
    </row>
    <row r="4" spans="1:5" x14ac:dyDescent="0.25">
      <c r="A4" s="269" t="s">
        <v>123</v>
      </c>
      <c r="B4" s="269"/>
      <c r="D4" s="270" t="s">
        <v>156</v>
      </c>
      <c r="E4" s="271"/>
    </row>
    <row r="5" spans="1:5" x14ac:dyDescent="0.25">
      <c r="A5" s="272" t="s">
        <v>124</v>
      </c>
      <c r="B5" s="273"/>
      <c r="D5" s="274" t="s">
        <v>22</v>
      </c>
      <c r="E5" s="275"/>
    </row>
    <row r="6" spans="1:5" x14ac:dyDescent="0.25">
      <c r="A6" s="72"/>
      <c r="B6" s="73" t="s">
        <v>116</v>
      </c>
      <c r="D6" s="40"/>
      <c r="E6" s="41" t="s">
        <v>18</v>
      </c>
    </row>
    <row r="7" spans="1:5" x14ac:dyDescent="0.25">
      <c r="A7" s="72"/>
      <c r="B7" s="74" t="s">
        <v>117</v>
      </c>
      <c r="D7" s="40"/>
      <c r="E7" s="41" t="s">
        <v>47</v>
      </c>
    </row>
    <row r="8" spans="1:5" x14ac:dyDescent="0.25">
      <c r="A8" s="75"/>
      <c r="B8" s="76" t="s">
        <v>127</v>
      </c>
      <c r="D8" s="43"/>
      <c r="E8" s="44" t="s">
        <v>122</v>
      </c>
    </row>
    <row r="9" spans="1:5" x14ac:dyDescent="0.25">
      <c r="A9" s="272" t="s">
        <v>125</v>
      </c>
      <c r="B9" s="273"/>
      <c r="D9" s="266" t="s">
        <v>23</v>
      </c>
      <c r="E9" s="267"/>
    </row>
    <row r="10" spans="1:5" x14ac:dyDescent="0.25">
      <c r="A10" s="72"/>
      <c r="B10" s="77" t="s">
        <v>45</v>
      </c>
      <c r="D10" s="40"/>
      <c r="E10" s="276" t="s">
        <v>236</v>
      </c>
    </row>
    <row r="11" spans="1:5" x14ac:dyDescent="0.25">
      <c r="A11" s="72"/>
      <c r="B11" s="78" t="s">
        <v>118</v>
      </c>
      <c r="D11" s="40"/>
      <c r="E11" s="276"/>
    </row>
    <row r="12" spans="1:5" x14ac:dyDescent="0.25">
      <c r="A12" s="75"/>
      <c r="B12" s="79" t="s">
        <v>119</v>
      </c>
      <c r="D12" s="43"/>
      <c r="E12" s="44" t="s">
        <v>46</v>
      </c>
    </row>
    <row r="13" spans="1:5" x14ac:dyDescent="0.25">
      <c r="A13" s="272" t="s">
        <v>126</v>
      </c>
      <c r="B13" s="273"/>
      <c r="D13" s="277" t="s">
        <v>157</v>
      </c>
      <c r="E13" s="278"/>
    </row>
    <row r="14" spans="1:5" x14ac:dyDescent="0.25">
      <c r="A14" s="72"/>
      <c r="B14" s="80" t="s">
        <v>120</v>
      </c>
      <c r="D14" s="266" t="s">
        <v>53</v>
      </c>
      <c r="E14" s="267"/>
    </row>
    <row r="15" spans="1:5" x14ac:dyDescent="0.25">
      <c r="A15" s="75"/>
      <c r="B15" s="81" t="s">
        <v>121</v>
      </c>
      <c r="D15" s="45"/>
      <c r="E15" s="47" t="s">
        <v>54</v>
      </c>
    </row>
    <row r="16" spans="1:5" x14ac:dyDescent="0.25">
      <c r="A16" s="269" t="s">
        <v>123</v>
      </c>
      <c r="B16" s="269"/>
      <c r="D16" s="45"/>
      <c r="E16" s="47" t="s">
        <v>55</v>
      </c>
    </row>
    <row r="17" spans="1:5" x14ac:dyDescent="0.25">
      <c r="A17" s="37"/>
      <c r="B17" s="37"/>
      <c r="D17" s="43"/>
      <c r="E17" s="46" t="s">
        <v>56</v>
      </c>
    </row>
    <row r="18" spans="1:5" x14ac:dyDescent="0.25">
      <c r="D18" s="266" t="s">
        <v>48</v>
      </c>
      <c r="E18" s="267"/>
    </row>
    <row r="19" spans="1:5" x14ac:dyDescent="0.25">
      <c r="D19" s="45"/>
      <c r="E19" s="41" t="s">
        <v>49</v>
      </c>
    </row>
    <row r="20" spans="1:5" x14ac:dyDescent="0.25">
      <c r="D20" s="45"/>
      <c r="E20" s="41" t="s">
        <v>50</v>
      </c>
    </row>
    <row r="21" spans="1:5" x14ac:dyDescent="0.25">
      <c r="D21" s="40"/>
      <c r="E21" s="41" t="s">
        <v>51</v>
      </c>
    </row>
    <row r="22" spans="1:5" x14ac:dyDescent="0.25">
      <c r="D22" s="43"/>
      <c r="E22" s="46" t="s">
        <v>52</v>
      </c>
    </row>
    <row r="23" spans="1:5" x14ac:dyDescent="0.25">
      <c r="D23" s="266" t="s">
        <v>57</v>
      </c>
      <c r="E23" s="267"/>
    </row>
    <row r="24" spans="1:5" x14ac:dyDescent="0.25">
      <c r="D24" s="40"/>
      <c r="E24" s="279" t="s">
        <v>149</v>
      </c>
    </row>
    <row r="25" spans="1:5" x14ac:dyDescent="0.25">
      <c r="D25" s="48"/>
      <c r="E25" s="279"/>
    </row>
    <row r="26" spans="1:5" x14ac:dyDescent="0.25">
      <c r="D26" s="48"/>
      <c r="E26" s="279"/>
    </row>
    <row r="27" spans="1:5" x14ac:dyDescent="0.25">
      <c r="D27" s="45"/>
      <c r="E27" s="279" t="s">
        <v>58</v>
      </c>
    </row>
    <row r="28" spans="1:5" x14ac:dyDescent="0.25">
      <c r="D28" s="43"/>
      <c r="E28" s="280"/>
    </row>
  </sheetData>
  <sheetProtection sheet="1" objects="1" scenarios="1"/>
  <mergeCells count="17">
    <mergeCell ref="A16:B16"/>
    <mergeCell ref="D18:E18"/>
    <mergeCell ref="D23:E23"/>
    <mergeCell ref="E24:E26"/>
    <mergeCell ref="E27:E28"/>
    <mergeCell ref="D14:E14"/>
    <mergeCell ref="A1:E1"/>
    <mergeCell ref="A2:E2"/>
    <mergeCell ref="A4:B4"/>
    <mergeCell ref="D4:E4"/>
    <mergeCell ref="A5:B5"/>
    <mergeCell ref="D5:E5"/>
    <mergeCell ref="A9:B9"/>
    <mergeCell ref="D9:E9"/>
    <mergeCell ref="E10:E11"/>
    <mergeCell ref="A13:B13"/>
    <mergeCell ref="D13:E1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81"/>
  <sheetViews>
    <sheetView showGridLines="0" zoomScaleNormal="100" workbookViewId="0">
      <selection sqref="A1:R1"/>
    </sheetView>
  </sheetViews>
  <sheetFormatPr defaultRowHeight="15" x14ac:dyDescent="0.25"/>
  <cols>
    <col min="1" max="9" width="6" style="37" customWidth="1"/>
    <col min="10" max="10" width="6" style="37" bestFit="1" customWidth="1"/>
    <col min="11" max="17" width="6" style="37" customWidth="1"/>
    <col min="18" max="18" width="5.85546875" style="37" bestFit="1" customWidth="1"/>
    <col min="19" max="19" width="9.140625" style="37"/>
    <col min="20" max="20" width="9.140625" style="37" customWidth="1"/>
    <col min="21" max="16384" width="9.140625" style="37"/>
  </cols>
  <sheetData>
    <row r="1" spans="1:21" ht="32.25" x14ac:dyDescent="0.4">
      <c r="A1" s="300" t="str">
        <f>'Interactive Form'!A1</f>
        <v>UDOT Detection Form</v>
      </c>
      <c r="B1" s="300"/>
      <c r="C1" s="300"/>
      <c r="D1" s="300"/>
      <c r="E1" s="300"/>
      <c r="F1" s="300"/>
      <c r="G1" s="300"/>
      <c r="H1" s="300"/>
      <c r="I1" s="300"/>
      <c r="J1" s="300"/>
      <c r="K1" s="300"/>
      <c r="L1" s="300"/>
      <c r="M1" s="300"/>
      <c r="N1" s="300"/>
      <c r="O1" s="300"/>
      <c r="P1" s="300"/>
      <c r="Q1" s="300"/>
      <c r="R1" s="300"/>
    </row>
    <row r="2" spans="1:21" ht="12" customHeight="1" x14ac:dyDescent="0.3">
      <c r="A2" s="301" t="str">
        <f>'Interactive Form'!A2</f>
        <v>Form Revision: 4/9/2019 by MDL</v>
      </c>
      <c r="B2" s="301"/>
      <c r="C2" s="302"/>
      <c r="D2" s="302"/>
      <c r="E2" s="302"/>
      <c r="F2" s="302"/>
      <c r="G2" s="302"/>
      <c r="H2" s="302"/>
      <c r="I2" s="302"/>
      <c r="J2" s="302"/>
      <c r="K2" s="302"/>
      <c r="L2" s="302"/>
      <c r="M2" s="302"/>
      <c r="N2" s="302"/>
      <c r="O2" s="302"/>
      <c r="P2" s="302"/>
      <c r="Q2" s="302"/>
      <c r="R2" s="302"/>
    </row>
    <row r="3" spans="1:21" ht="30" customHeight="1" x14ac:dyDescent="0.25">
      <c r="A3" s="299" t="s">
        <v>138</v>
      </c>
      <c r="B3" s="299"/>
      <c r="C3" s="283" t="str">
        <f>IF('Interactive Form'!G3="","",'Interactive Form'!G3)</f>
        <v/>
      </c>
      <c r="D3" s="284"/>
      <c r="E3" s="285"/>
      <c r="F3" s="285"/>
      <c r="G3" s="284"/>
      <c r="H3" s="284"/>
      <c r="I3" s="284"/>
      <c r="J3" s="284"/>
      <c r="K3" s="284"/>
      <c r="L3" s="284"/>
      <c r="M3" s="284"/>
      <c r="N3" s="284"/>
      <c r="O3" s="285"/>
      <c r="P3" s="284"/>
      <c r="Q3" s="284"/>
      <c r="R3" s="284"/>
      <c r="T3" s="162" t="s">
        <v>237</v>
      </c>
    </row>
    <row r="4" spans="1:21" ht="15" customHeight="1" x14ac:dyDescent="0.25">
      <c r="A4" s="286" t="s">
        <v>139</v>
      </c>
      <c r="B4" s="286"/>
      <c r="C4" s="286"/>
      <c r="D4" s="169" t="str">
        <f>IF('Interactive Form'!D3="","",'Interactive Form'!D3)</f>
        <v/>
      </c>
      <c r="E4" s="286" t="s">
        <v>140</v>
      </c>
      <c r="F4" s="286"/>
      <c r="G4" s="287" t="str">
        <f>IF('Interactive Form'!AE3="","",'Interactive Form'!AE3)</f>
        <v/>
      </c>
      <c r="H4" s="288"/>
      <c r="I4" s="288"/>
      <c r="J4" s="288"/>
      <c r="K4" s="288"/>
      <c r="L4" s="288"/>
      <c r="M4" s="288"/>
      <c r="N4" s="289"/>
      <c r="O4" s="171" t="s">
        <v>141</v>
      </c>
      <c r="P4" s="290" t="str">
        <f>IF('Interactive Form'!AN3="","",'Interactive Form'!AN3)</f>
        <v/>
      </c>
      <c r="Q4" s="291"/>
      <c r="R4" s="291"/>
    </row>
    <row r="5" spans="1:21" ht="15" customHeight="1" x14ac:dyDescent="0.25">
      <c r="A5" s="170"/>
      <c r="B5" s="170"/>
      <c r="C5" s="170"/>
      <c r="D5" s="109"/>
      <c r="E5" s="170"/>
      <c r="F5" s="170"/>
      <c r="G5" s="109"/>
      <c r="H5" s="109"/>
      <c r="I5" s="109"/>
      <c r="J5" s="109"/>
      <c r="K5" s="109"/>
      <c r="L5" s="109"/>
      <c r="M5" s="109"/>
      <c r="N5" s="109"/>
      <c r="O5" s="170"/>
      <c r="P5" s="109"/>
      <c r="Q5" s="109"/>
      <c r="R5" s="109"/>
    </row>
    <row r="6" spans="1:21" s="67" customFormat="1" ht="15" customHeight="1" x14ac:dyDescent="0.25">
      <c r="A6" s="133"/>
      <c r="B6" s="304" t="s">
        <v>5</v>
      </c>
      <c r="C6" s="304"/>
      <c r="D6" s="304"/>
      <c r="E6" s="304"/>
      <c r="F6" s="304"/>
      <c r="G6" s="304"/>
      <c r="H6" s="303" t="s">
        <v>92</v>
      </c>
      <c r="I6" s="303"/>
      <c r="J6" s="106">
        <f>'Interactive Form'!J4</f>
        <v>1</v>
      </c>
      <c r="K6" s="106">
        <f>'Interactive Form'!K4</f>
        <v>2</v>
      </c>
      <c r="L6" s="106">
        <f>'Interactive Form'!L4</f>
        <v>3</v>
      </c>
      <c r="M6" s="106">
        <f>'Interactive Form'!M4</f>
        <v>4</v>
      </c>
      <c r="N6" s="106">
        <f>'Interactive Form'!N4</f>
        <v>5</v>
      </c>
      <c r="O6" s="106">
        <f>'Interactive Form'!O4</f>
        <v>6</v>
      </c>
      <c r="P6" s="106">
        <f>'Interactive Form'!P4</f>
        <v>7</v>
      </c>
      <c r="Q6" s="106">
        <f>'Interactive Form'!Q4</f>
        <v>8</v>
      </c>
      <c r="R6" s="107"/>
    </row>
    <row r="7" spans="1:21" x14ac:dyDescent="0.25">
      <c r="A7" s="296" t="s">
        <v>95</v>
      </c>
      <c r="B7" s="297"/>
      <c r="C7" s="297"/>
      <c r="D7" s="297"/>
      <c r="E7" s="297"/>
      <c r="F7" s="297"/>
      <c r="G7" s="297"/>
      <c r="H7" s="297"/>
      <c r="I7" s="298"/>
      <c r="J7" s="97" t="str">
        <f>IF('Interactive Form'!J5="","",'Interactive Form'!J5)</f>
        <v/>
      </c>
      <c r="K7" s="97" t="str">
        <f>IF('Interactive Form'!K5="","",'Interactive Form'!K5)</f>
        <v/>
      </c>
      <c r="L7" s="97" t="str">
        <f>IF('Interactive Form'!L5="","",'Interactive Form'!L5)</f>
        <v/>
      </c>
      <c r="M7" s="97" t="str">
        <f>IF('Interactive Form'!M5="","",'Interactive Form'!M5)</f>
        <v/>
      </c>
      <c r="N7" s="97" t="str">
        <f>IF('Interactive Form'!N5="","",'Interactive Form'!N5)</f>
        <v/>
      </c>
      <c r="O7" s="97" t="str">
        <f>IF('Interactive Form'!O5="","",'Interactive Form'!O5)</f>
        <v/>
      </c>
      <c r="P7" s="97" t="str">
        <f>IF('Interactive Form'!P5="","",'Interactive Form'!P5)</f>
        <v/>
      </c>
      <c r="Q7" s="97" t="str">
        <f>IF('Interactive Form'!Q5="","",'Interactive Form'!Q5)</f>
        <v/>
      </c>
      <c r="R7" s="60" t="s">
        <v>2</v>
      </c>
    </row>
    <row r="8" spans="1:21" x14ac:dyDescent="0.25">
      <c r="A8" s="207" t="s">
        <v>85</v>
      </c>
      <c r="B8" s="208"/>
      <c r="C8" s="208"/>
      <c r="D8" s="208"/>
      <c r="E8" s="208"/>
      <c r="F8" s="208"/>
      <c r="G8" s="208"/>
      <c r="H8" s="208"/>
      <c r="I8" s="209"/>
      <c r="J8" s="98" t="str">
        <f>IF('Interactive Form'!J6="","",'Interactive Form'!J6)</f>
        <v/>
      </c>
      <c r="K8" s="98" t="str">
        <f>IF('Interactive Form'!K6="","",'Interactive Form'!K6)</f>
        <v/>
      </c>
      <c r="L8" s="98" t="str">
        <f>IF('Interactive Form'!L6="","",'Interactive Form'!L6)</f>
        <v/>
      </c>
      <c r="M8" s="98" t="str">
        <f>IF('Interactive Form'!M6="","",'Interactive Form'!M6)</f>
        <v/>
      </c>
      <c r="N8" s="98" t="str">
        <f>IF('Interactive Form'!N6="","",'Interactive Form'!N6)</f>
        <v/>
      </c>
      <c r="O8" s="98" t="str">
        <f>IF('Interactive Form'!O6="","",'Interactive Form'!O6)</f>
        <v/>
      </c>
      <c r="P8" s="98" t="str">
        <f>IF('Interactive Form'!P6="","",'Interactive Form'!P6)</f>
        <v/>
      </c>
      <c r="Q8" s="98" t="str">
        <f>IF('Interactive Form'!Q6="","",'Interactive Form'!Q6)</f>
        <v/>
      </c>
      <c r="R8" s="70" t="s">
        <v>2</v>
      </c>
    </row>
    <row r="9" spans="1:21" x14ac:dyDescent="0.25">
      <c r="A9" s="207" t="s">
        <v>6</v>
      </c>
      <c r="B9" s="208"/>
      <c r="C9" s="208"/>
      <c r="D9" s="208"/>
      <c r="E9" s="208"/>
      <c r="F9" s="208"/>
      <c r="G9" s="208"/>
      <c r="H9" s="208"/>
      <c r="I9" s="209"/>
      <c r="J9" s="98" t="str">
        <f>IF('Interactive Form'!J7="","",'Interactive Form'!J7)</f>
        <v/>
      </c>
      <c r="K9" s="98" t="str">
        <f>IF('Interactive Form'!K7="","",'Interactive Form'!K7)</f>
        <v/>
      </c>
      <c r="L9" s="98" t="str">
        <f>IF('Interactive Form'!L7="","",'Interactive Form'!L7)</f>
        <v/>
      </c>
      <c r="M9" s="98" t="str">
        <f>IF('Interactive Form'!M7="","",'Interactive Form'!M7)</f>
        <v/>
      </c>
      <c r="N9" s="98" t="str">
        <f>IF('Interactive Form'!N7="","",'Interactive Form'!N7)</f>
        <v/>
      </c>
      <c r="O9" s="98" t="str">
        <f>IF('Interactive Form'!O7="","",'Interactive Form'!O7)</f>
        <v/>
      </c>
      <c r="P9" s="98" t="str">
        <f>IF('Interactive Form'!P7="","",'Interactive Form'!P7)</f>
        <v/>
      </c>
      <c r="Q9" s="98" t="str">
        <f>IF('Interactive Form'!Q7="","",'Interactive Form'!Q7)</f>
        <v/>
      </c>
      <c r="R9" s="70" t="s">
        <v>0</v>
      </c>
      <c r="S9" s="39"/>
      <c r="T9" s="39"/>
      <c r="U9" s="39"/>
    </row>
    <row r="10" spans="1:21" x14ac:dyDescent="0.25">
      <c r="A10" s="70"/>
      <c r="B10" s="207" t="s">
        <v>17</v>
      </c>
      <c r="C10" s="208"/>
      <c r="D10" s="208"/>
      <c r="E10" s="208"/>
      <c r="F10" s="208"/>
      <c r="G10" s="208"/>
      <c r="H10" s="208"/>
      <c r="I10" s="209"/>
      <c r="J10" s="98" t="str">
        <f>IF('Interactive Form'!J8="","",'Interactive Form'!J8)</f>
        <v/>
      </c>
      <c r="K10" s="98" t="str">
        <f>IF('Interactive Form'!K8="","",'Interactive Form'!K8)</f>
        <v/>
      </c>
      <c r="L10" s="98" t="str">
        <f>IF('Interactive Form'!L8="","",'Interactive Form'!L8)</f>
        <v/>
      </c>
      <c r="M10" s="98" t="str">
        <f>IF('Interactive Form'!M8="","",'Interactive Form'!M8)</f>
        <v/>
      </c>
      <c r="N10" s="98" t="str">
        <f>IF('Interactive Form'!N8="","",'Interactive Form'!N8)</f>
        <v/>
      </c>
      <c r="O10" s="98" t="str">
        <f>IF('Interactive Form'!O8="","",'Interactive Form'!O8)</f>
        <v/>
      </c>
      <c r="P10" s="98" t="str">
        <f>IF('Interactive Form'!P8="","",'Interactive Form'!P8)</f>
        <v/>
      </c>
      <c r="Q10" s="98" t="str">
        <f>IF('Interactive Form'!Q8="","",'Interactive Form'!Q8)</f>
        <v/>
      </c>
      <c r="R10" s="70" t="s">
        <v>0</v>
      </c>
      <c r="S10" s="39"/>
      <c r="T10" s="39"/>
      <c r="U10" s="39"/>
    </row>
    <row r="11" spans="1:21" x14ac:dyDescent="0.25">
      <c r="A11" s="70"/>
      <c r="B11" s="207" t="s">
        <v>3</v>
      </c>
      <c r="C11" s="208"/>
      <c r="D11" s="208"/>
      <c r="E11" s="208"/>
      <c r="F11" s="208"/>
      <c r="G11" s="208"/>
      <c r="H11" s="208"/>
      <c r="I11" s="209"/>
      <c r="J11" s="98" t="str">
        <f>IF('Interactive Form'!J9="","",'Interactive Form'!J9)</f>
        <v/>
      </c>
      <c r="K11" s="98" t="str">
        <f>IF('Interactive Form'!K9="","",'Interactive Form'!K9)</f>
        <v/>
      </c>
      <c r="L11" s="98" t="str">
        <f>IF('Interactive Form'!L9="","",'Interactive Form'!L9)</f>
        <v/>
      </c>
      <c r="M11" s="98" t="str">
        <f>IF('Interactive Form'!M9="","",'Interactive Form'!M9)</f>
        <v/>
      </c>
      <c r="N11" s="98" t="str">
        <f>IF('Interactive Form'!N9="","",'Interactive Form'!N9)</f>
        <v/>
      </c>
      <c r="O11" s="98" t="str">
        <f>IF('Interactive Form'!O9="","",'Interactive Form'!O9)</f>
        <v/>
      </c>
      <c r="P11" s="98" t="str">
        <f>IF('Interactive Form'!P9="","",'Interactive Form'!P9)</f>
        <v/>
      </c>
      <c r="Q11" s="98" t="str">
        <f>IF('Interactive Form'!Q9="","",'Interactive Form'!Q9)</f>
        <v/>
      </c>
      <c r="R11" s="70" t="s">
        <v>0</v>
      </c>
    </row>
    <row r="12" spans="1:21" x14ac:dyDescent="0.25">
      <c r="A12" s="70"/>
      <c r="B12" s="207" t="s">
        <v>4</v>
      </c>
      <c r="C12" s="208"/>
      <c r="D12" s="208"/>
      <c r="E12" s="208"/>
      <c r="F12" s="208"/>
      <c r="G12" s="208"/>
      <c r="H12" s="208"/>
      <c r="I12" s="209"/>
      <c r="J12" s="98" t="str">
        <f>IF('Interactive Form'!J10="","",'Interactive Form'!J10)</f>
        <v/>
      </c>
      <c r="K12" s="98" t="str">
        <f>IF('Interactive Form'!K10="","",'Interactive Form'!K10)</f>
        <v/>
      </c>
      <c r="L12" s="98" t="str">
        <f>IF('Interactive Form'!L10="","",'Interactive Form'!L10)</f>
        <v/>
      </c>
      <c r="M12" s="98" t="str">
        <f>IF('Interactive Form'!M10="","",'Interactive Form'!M10)</f>
        <v/>
      </c>
      <c r="N12" s="98" t="str">
        <f>IF('Interactive Form'!N10="","",'Interactive Form'!N10)</f>
        <v/>
      </c>
      <c r="O12" s="98" t="str">
        <f>IF('Interactive Form'!O10="","",'Interactive Form'!O10)</f>
        <v/>
      </c>
      <c r="P12" s="98" t="str">
        <f>IF('Interactive Form'!P10="","",'Interactive Form'!P10)</f>
        <v/>
      </c>
      <c r="Q12" s="98" t="str">
        <f>IF('Interactive Form'!Q10="","",'Interactive Form'!Q10)</f>
        <v/>
      </c>
      <c r="R12" s="70" t="s">
        <v>0</v>
      </c>
    </row>
    <row r="13" spans="1:21" x14ac:dyDescent="0.25">
      <c r="A13" s="207" t="s">
        <v>97</v>
      </c>
      <c r="B13" s="208"/>
      <c r="C13" s="208"/>
      <c r="D13" s="208"/>
      <c r="E13" s="208"/>
      <c r="F13" s="208"/>
      <c r="G13" s="208"/>
      <c r="H13" s="208"/>
      <c r="I13" s="209"/>
      <c r="J13" s="98" t="str">
        <f>IF('Interactive Form'!J11="","",'Interactive Form'!J11)</f>
        <v/>
      </c>
      <c r="K13" s="98" t="str">
        <f>IF('Interactive Form'!K11="","",'Interactive Form'!K11)</f>
        <v/>
      </c>
      <c r="L13" s="98" t="str">
        <f>IF('Interactive Form'!L11="","",'Interactive Form'!L11)</f>
        <v/>
      </c>
      <c r="M13" s="98" t="str">
        <f>IF('Interactive Form'!M11="","",'Interactive Form'!M11)</f>
        <v/>
      </c>
      <c r="N13" s="98" t="str">
        <f>IF('Interactive Form'!N11="","",'Interactive Form'!N11)</f>
        <v/>
      </c>
      <c r="O13" s="98" t="str">
        <f>IF('Interactive Form'!O11="","",'Interactive Form'!O11)</f>
        <v/>
      </c>
      <c r="P13" s="98" t="str">
        <f>IF('Interactive Form'!P11="","",'Interactive Form'!P11)</f>
        <v/>
      </c>
      <c r="Q13" s="98" t="str">
        <f>IF('Interactive Form'!Q11="","",'Interactive Form'!Q11)</f>
        <v/>
      </c>
      <c r="R13" s="70"/>
    </row>
    <row r="14" spans="1:21" x14ac:dyDescent="0.25">
      <c r="A14" s="305" t="s">
        <v>98</v>
      </c>
      <c r="B14" s="306"/>
      <c r="C14" s="306"/>
      <c r="D14" s="306"/>
      <c r="E14" s="306"/>
      <c r="F14" s="306"/>
      <c r="G14" s="306"/>
      <c r="H14" s="306"/>
      <c r="I14" s="307"/>
      <c r="J14" s="98" t="str">
        <f>IF('Interactive Form'!J12="","",'Interactive Form'!J12)</f>
        <v/>
      </c>
      <c r="K14" s="98" t="str">
        <f>IF('Interactive Form'!K12="","",'Interactive Form'!K12)</f>
        <v/>
      </c>
      <c r="L14" s="98" t="str">
        <f>IF('Interactive Form'!L12="","",'Interactive Form'!L12)</f>
        <v/>
      </c>
      <c r="M14" s="98" t="str">
        <f>IF('Interactive Form'!M12="","",'Interactive Form'!M12)</f>
        <v/>
      </c>
      <c r="N14" s="98" t="str">
        <f>IF('Interactive Form'!N12="","",'Interactive Form'!N12)</f>
        <v/>
      </c>
      <c r="O14" s="98" t="str">
        <f>IF('Interactive Form'!O12="","",'Interactive Form'!O12)</f>
        <v/>
      </c>
      <c r="P14" s="98" t="str">
        <f>IF('Interactive Form'!P12="","",'Interactive Form'!P12)</f>
        <v/>
      </c>
      <c r="Q14" s="98" t="str">
        <f>IF('Interactive Form'!Q12="","",'Interactive Form'!Q12)</f>
        <v/>
      </c>
      <c r="R14" s="70"/>
    </row>
    <row r="15" spans="1:21" x14ac:dyDescent="0.25">
      <c r="A15" s="305" t="s">
        <v>96</v>
      </c>
      <c r="B15" s="306"/>
      <c r="C15" s="306"/>
      <c r="D15" s="306"/>
      <c r="E15" s="306"/>
      <c r="F15" s="306"/>
      <c r="G15" s="306"/>
      <c r="H15" s="306"/>
      <c r="I15" s="307"/>
      <c r="J15" s="98" t="str">
        <f>IF('Interactive Form'!J13="","",'Interactive Form'!J13)</f>
        <v/>
      </c>
      <c r="K15" s="98" t="str">
        <f>IF('Interactive Form'!K13="","",'Interactive Form'!K13)</f>
        <v/>
      </c>
      <c r="L15" s="98" t="str">
        <f>IF('Interactive Form'!L13="","",'Interactive Form'!L13)</f>
        <v/>
      </c>
      <c r="M15" s="98" t="str">
        <f>IF('Interactive Form'!M13="","",'Interactive Form'!M13)</f>
        <v/>
      </c>
      <c r="N15" s="98" t="str">
        <f>IF('Interactive Form'!N13="","",'Interactive Form'!N13)</f>
        <v/>
      </c>
      <c r="O15" s="98" t="str">
        <f>IF('Interactive Form'!O13="","",'Interactive Form'!O13)</f>
        <v/>
      </c>
      <c r="P15" s="98" t="str">
        <f>IF('Interactive Form'!P13="","",'Interactive Form'!P13)</f>
        <v/>
      </c>
      <c r="Q15" s="98" t="str">
        <f>IF('Interactive Form'!Q13="","",'Interactive Form'!Q13)</f>
        <v/>
      </c>
      <c r="R15" s="70" t="s">
        <v>2</v>
      </c>
    </row>
    <row r="16" spans="1:21" x14ac:dyDescent="0.25">
      <c r="A16" s="207" t="s">
        <v>93</v>
      </c>
      <c r="B16" s="208"/>
      <c r="C16" s="208"/>
      <c r="D16" s="208"/>
      <c r="E16" s="208"/>
      <c r="F16" s="208"/>
      <c r="G16" s="208"/>
      <c r="H16" s="208"/>
      <c r="I16" s="209"/>
      <c r="J16" s="98" t="str">
        <f>IF('Interactive Form'!J14="","",'Interactive Form'!J14)</f>
        <v/>
      </c>
      <c r="K16" s="98" t="str">
        <f>IF('Interactive Form'!K14="","",'Interactive Form'!K14)</f>
        <v/>
      </c>
      <c r="L16" s="98" t="str">
        <f>IF('Interactive Form'!L14="","",'Interactive Form'!L14)</f>
        <v/>
      </c>
      <c r="M16" s="98" t="str">
        <f>IF('Interactive Form'!M14="","",'Interactive Form'!M14)</f>
        <v/>
      </c>
      <c r="N16" s="98" t="str">
        <f>IF('Interactive Form'!N14="","",'Interactive Form'!N14)</f>
        <v/>
      </c>
      <c r="O16" s="98" t="str">
        <f>IF('Interactive Form'!O14="","",'Interactive Form'!O14)</f>
        <v/>
      </c>
      <c r="P16" s="98" t="str">
        <f>IF('Interactive Form'!P14="","",'Interactive Form'!P14)</f>
        <v/>
      </c>
      <c r="Q16" s="98" t="str">
        <f>IF('Interactive Form'!Q14="","",'Interactive Form'!Q14)</f>
        <v/>
      </c>
      <c r="R16" s="70" t="s">
        <v>2</v>
      </c>
    </row>
    <row r="17" spans="1:21" x14ac:dyDescent="0.25">
      <c r="A17" s="305" t="s">
        <v>129</v>
      </c>
      <c r="B17" s="306"/>
      <c r="C17" s="306"/>
      <c r="D17" s="306"/>
      <c r="E17" s="306"/>
      <c r="F17" s="306"/>
      <c r="G17" s="306"/>
      <c r="H17" s="306"/>
      <c r="I17" s="307"/>
      <c r="J17" s="98" t="str">
        <f>IF('Interactive Form'!J15="","",'Interactive Form'!J15)</f>
        <v/>
      </c>
      <c r="K17" s="98" t="str">
        <f>IF('Interactive Form'!K15="","",'Interactive Form'!K15)</f>
        <v/>
      </c>
      <c r="L17" s="98" t="str">
        <f>IF('Interactive Form'!L15="","",'Interactive Form'!L15)</f>
        <v/>
      </c>
      <c r="M17" s="98" t="str">
        <f>IF('Interactive Form'!M15="","",'Interactive Form'!M15)</f>
        <v/>
      </c>
      <c r="N17" s="98" t="str">
        <f>IF('Interactive Form'!N15="","",'Interactive Form'!N15)</f>
        <v/>
      </c>
      <c r="O17" s="98" t="str">
        <f>IF('Interactive Form'!O15="","",'Interactive Form'!O15)</f>
        <v/>
      </c>
      <c r="P17" s="98" t="str">
        <f>IF('Interactive Form'!P15="","",'Interactive Form'!P15)</f>
        <v/>
      </c>
      <c r="Q17" s="98" t="str">
        <f>IF('Interactive Form'!Q15="","",'Interactive Form'!Q15)</f>
        <v/>
      </c>
      <c r="R17" s="70"/>
    </row>
    <row r="18" spans="1:21" x14ac:dyDescent="0.25">
      <c r="A18" s="305" t="s">
        <v>103</v>
      </c>
      <c r="B18" s="306"/>
      <c r="C18" s="306"/>
      <c r="D18" s="306"/>
      <c r="E18" s="306"/>
      <c r="F18" s="306"/>
      <c r="G18" s="306"/>
      <c r="H18" s="306"/>
      <c r="I18" s="307"/>
      <c r="J18" s="98" t="str">
        <f>IF('Interactive Form'!J16="","",'Interactive Form'!J16)</f>
        <v/>
      </c>
      <c r="K18" s="98" t="str">
        <f>IF('Interactive Form'!K16="","",'Interactive Form'!K16)</f>
        <v/>
      </c>
      <c r="L18" s="98" t="str">
        <f>IF('Interactive Form'!L16="","",'Interactive Form'!L16)</f>
        <v/>
      </c>
      <c r="M18" s="98" t="str">
        <f>IF('Interactive Form'!M16="","",'Interactive Form'!M16)</f>
        <v/>
      </c>
      <c r="N18" s="98" t="str">
        <f>IF('Interactive Form'!N16="","",'Interactive Form'!N16)</f>
        <v/>
      </c>
      <c r="O18" s="98" t="str">
        <f>IF('Interactive Form'!O16="","",'Interactive Form'!O16)</f>
        <v/>
      </c>
      <c r="P18" s="98" t="str">
        <f>IF('Interactive Form'!P16="","",'Interactive Form'!P16)</f>
        <v/>
      </c>
      <c r="Q18" s="98" t="str">
        <f>IF('Interactive Form'!Q16="","",'Interactive Form'!Q16)</f>
        <v/>
      </c>
      <c r="R18" s="70"/>
    </row>
    <row r="19" spans="1:21" x14ac:dyDescent="0.25">
      <c r="A19" s="305" t="s">
        <v>94</v>
      </c>
      <c r="B19" s="306"/>
      <c r="C19" s="306"/>
      <c r="D19" s="306"/>
      <c r="E19" s="306"/>
      <c r="F19" s="306"/>
      <c r="G19" s="306"/>
      <c r="H19" s="306"/>
      <c r="I19" s="307"/>
      <c r="J19" s="98" t="str">
        <f>IF('Interactive Form'!J17="","",'Interactive Form'!J17)</f>
        <v/>
      </c>
      <c r="K19" s="98" t="str">
        <f>IF('Interactive Form'!K17="","",'Interactive Form'!K17)</f>
        <v/>
      </c>
      <c r="L19" s="98" t="str">
        <f>IF('Interactive Form'!L17="","",'Interactive Form'!L17)</f>
        <v/>
      </c>
      <c r="M19" s="98" t="str">
        <f>IF('Interactive Form'!M17="","",'Interactive Form'!M17)</f>
        <v/>
      </c>
      <c r="N19" s="98" t="str">
        <f>IF('Interactive Form'!N17="","",'Interactive Form'!N17)</f>
        <v/>
      </c>
      <c r="O19" s="98" t="str">
        <f>IF('Interactive Form'!O17="","",'Interactive Form'!O17)</f>
        <v/>
      </c>
      <c r="P19" s="98" t="str">
        <f>IF('Interactive Form'!P17="","",'Interactive Form'!P17)</f>
        <v/>
      </c>
      <c r="Q19" s="98" t="str">
        <f>IF('Interactive Form'!Q17="","",'Interactive Form'!Q17)</f>
        <v/>
      </c>
      <c r="R19" s="70" t="s">
        <v>0</v>
      </c>
    </row>
    <row r="20" spans="1:21" x14ac:dyDescent="0.25">
      <c r="A20" s="55"/>
      <c r="B20" s="55"/>
      <c r="C20" s="55"/>
      <c r="D20" s="55"/>
      <c r="E20" s="55"/>
      <c r="F20" s="55"/>
      <c r="G20" s="55"/>
      <c r="H20" s="55"/>
      <c r="I20" s="55"/>
      <c r="J20" s="55"/>
      <c r="K20" s="55"/>
      <c r="L20" s="55"/>
      <c r="M20" s="55"/>
      <c r="N20" s="55"/>
      <c r="O20" s="55"/>
      <c r="P20" s="55"/>
      <c r="Q20" s="55"/>
      <c r="R20" s="55"/>
    </row>
    <row r="21" spans="1:21" s="68" customFormat="1" ht="13.5" x14ac:dyDescent="0.25">
      <c r="A21" s="133"/>
      <c r="B21" s="304" t="s">
        <v>7</v>
      </c>
      <c r="C21" s="304"/>
      <c r="D21" s="304"/>
      <c r="E21" s="304"/>
      <c r="F21" s="304"/>
      <c r="G21" s="304"/>
      <c r="H21" s="303" t="s">
        <v>92</v>
      </c>
      <c r="I21" s="303"/>
      <c r="J21" s="106">
        <f>J$6</f>
        <v>1</v>
      </c>
      <c r="K21" s="106">
        <f t="shared" ref="K21:Q21" si="0">K$6</f>
        <v>2</v>
      </c>
      <c r="L21" s="106">
        <f t="shared" si="0"/>
        <v>3</v>
      </c>
      <c r="M21" s="106">
        <f t="shared" si="0"/>
        <v>4</v>
      </c>
      <c r="N21" s="106">
        <f t="shared" si="0"/>
        <v>5</v>
      </c>
      <c r="O21" s="106">
        <f t="shared" si="0"/>
        <v>6</v>
      </c>
      <c r="P21" s="106">
        <f t="shared" si="0"/>
        <v>7</v>
      </c>
      <c r="Q21" s="106">
        <f t="shared" si="0"/>
        <v>8</v>
      </c>
      <c r="R21" s="107"/>
    </row>
    <row r="22" spans="1:21" x14ac:dyDescent="0.25">
      <c r="A22" s="295" t="s">
        <v>99</v>
      </c>
      <c r="B22" s="295"/>
      <c r="C22" s="295"/>
      <c r="D22" s="295"/>
      <c r="E22" s="295"/>
      <c r="F22" s="295"/>
      <c r="G22" s="295"/>
      <c r="H22" s="295"/>
      <c r="I22" s="295"/>
      <c r="J22" s="102" t="str">
        <f>IF('Interactive Form'!J20="","",'Interactive Form'!J20)</f>
        <v>n/a</v>
      </c>
      <c r="K22" s="102" t="str">
        <f>IF('Interactive Form'!K20="","",'Interactive Form'!K20)</f>
        <v>n/a</v>
      </c>
      <c r="L22" s="102" t="str">
        <f>IF('Interactive Form'!L20="","",'Interactive Form'!L20)</f>
        <v>n/a</v>
      </c>
      <c r="M22" s="102" t="str">
        <f>IF('Interactive Form'!M20="","",'Interactive Form'!M20)</f>
        <v>n/a</v>
      </c>
      <c r="N22" s="102" t="str">
        <f>IF('Interactive Form'!N20="","",'Interactive Form'!N20)</f>
        <v>n/a</v>
      </c>
      <c r="O22" s="102" t="str">
        <f>IF('Interactive Form'!O20="","",'Interactive Form'!O20)</f>
        <v>n/a</v>
      </c>
      <c r="P22" s="102" t="str">
        <f>IF('Interactive Form'!P20="","",'Interactive Form'!P20)</f>
        <v>n/a</v>
      </c>
      <c r="Q22" s="102" t="str">
        <f>IF('Interactive Form'!Q20="","",'Interactive Form'!Q20)</f>
        <v>n/a</v>
      </c>
      <c r="R22" s="132" t="s">
        <v>1</v>
      </c>
    </row>
    <row r="23" spans="1:21" ht="15" customHeight="1" x14ac:dyDescent="0.25">
      <c r="A23" s="295" t="s">
        <v>108</v>
      </c>
      <c r="B23" s="295"/>
      <c r="C23" s="295"/>
      <c r="D23" s="295"/>
      <c r="E23" s="295"/>
      <c r="F23" s="295"/>
      <c r="G23" s="295"/>
      <c r="H23" s="295"/>
      <c r="I23" s="295"/>
      <c r="J23" s="102" t="str">
        <f>IF('Interactive Form'!J21="","",'Interactive Form'!J21)</f>
        <v/>
      </c>
      <c r="K23" s="102" t="str">
        <f>IF('Interactive Form'!K21="","",'Interactive Form'!K21)</f>
        <v>n/a</v>
      </c>
      <c r="L23" s="102" t="str">
        <f>IF('Interactive Form'!L21="","",'Interactive Form'!L21)</f>
        <v/>
      </c>
      <c r="M23" s="102" t="str">
        <f>IF('Interactive Form'!M21="","",'Interactive Form'!M21)</f>
        <v>n/a</v>
      </c>
      <c r="N23" s="102" t="str">
        <f>IF('Interactive Form'!N21="","",'Interactive Form'!N21)</f>
        <v/>
      </c>
      <c r="O23" s="102" t="str">
        <f>IF('Interactive Form'!O21="","",'Interactive Form'!O21)</f>
        <v>n/a</v>
      </c>
      <c r="P23" s="102" t="str">
        <f>IF('Interactive Form'!P21="","",'Interactive Form'!P21)</f>
        <v/>
      </c>
      <c r="Q23" s="102" t="str">
        <f>IF('Interactive Form'!Q21="","",'Interactive Form'!Q21)</f>
        <v>n/a</v>
      </c>
      <c r="R23" s="132" t="s">
        <v>1</v>
      </c>
    </row>
    <row r="24" spans="1:21" x14ac:dyDescent="0.25">
      <c r="A24" s="295" t="s">
        <v>109</v>
      </c>
      <c r="B24" s="295"/>
      <c r="C24" s="295"/>
      <c r="D24" s="295"/>
      <c r="E24" s="295"/>
      <c r="F24" s="295"/>
      <c r="G24" s="295"/>
      <c r="H24" s="295"/>
      <c r="I24" s="295"/>
      <c r="J24" s="102" t="str">
        <f>IF('Interactive Form'!J22="","",'Interactive Form'!J22)</f>
        <v/>
      </c>
      <c r="K24" s="102" t="str">
        <f>IF('Interactive Form'!K22="","",'Interactive Form'!K22)</f>
        <v>n/a</v>
      </c>
      <c r="L24" s="102" t="str">
        <f>IF('Interactive Form'!L22="","",'Interactive Form'!L22)</f>
        <v/>
      </c>
      <c r="M24" s="102" t="str">
        <f>IF('Interactive Form'!M22="","",'Interactive Form'!M22)</f>
        <v>n/a</v>
      </c>
      <c r="N24" s="102" t="str">
        <f>IF('Interactive Form'!N22="","",'Interactive Form'!N22)</f>
        <v/>
      </c>
      <c r="O24" s="102" t="str">
        <f>IF('Interactive Form'!O22="","",'Interactive Form'!O22)</f>
        <v>n/a</v>
      </c>
      <c r="P24" s="102" t="str">
        <f>IF('Interactive Form'!P22="","",'Interactive Form'!P22)</f>
        <v/>
      </c>
      <c r="Q24" s="102" t="str">
        <f>IF('Interactive Form'!Q22="","",'Interactive Form'!Q22)</f>
        <v>n/a</v>
      </c>
      <c r="R24" s="132" t="s">
        <v>1</v>
      </c>
      <c r="U24" s="39"/>
    </row>
    <row r="25" spans="1:21" x14ac:dyDescent="0.25">
      <c r="A25" s="295" t="s">
        <v>110</v>
      </c>
      <c r="B25" s="295"/>
      <c r="C25" s="295"/>
      <c r="D25" s="295"/>
      <c r="E25" s="295"/>
      <c r="F25" s="295"/>
      <c r="G25" s="295"/>
      <c r="H25" s="295"/>
      <c r="I25" s="295"/>
      <c r="J25" s="102" t="str">
        <f>IF('Interactive Form'!J23="","",'Interactive Form'!J23)</f>
        <v/>
      </c>
      <c r="K25" s="102" t="str">
        <f>IF('Interactive Form'!K23="","",'Interactive Form'!K23)</f>
        <v>n/a</v>
      </c>
      <c r="L25" s="102" t="str">
        <f>IF('Interactive Form'!L23="","",'Interactive Form'!L23)</f>
        <v/>
      </c>
      <c r="M25" s="102" t="str">
        <f>IF('Interactive Form'!M23="","",'Interactive Form'!M23)</f>
        <v>n/a</v>
      </c>
      <c r="N25" s="102" t="str">
        <f>IF('Interactive Form'!N23="","",'Interactive Form'!N23)</f>
        <v/>
      </c>
      <c r="O25" s="102" t="str">
        <f>IF('Interactive Form'!O23="","",'Interactive Form'!O23)</f>
        <v>n/a</v>
      </c>
      <c r="P25" s="102" t="str">
        <f>IF('Interactive Form'!P23="","",'Interactive Form'!P23)</f>
        <v/>
      </c>
      <c r="Q25" s="102" t="str">
        <f>IF('Interactive Form'!Q23="","",'Interactive Form'!Q23)</f>
        <v>n/a</v>
      </c>
      <c r="R25" s="132" t="s">
        <v>1</v>
      </c>
      <c r="U25" s="39"/>
    </row>
    <row r="26" spans="1:21" x14ac:dyDescent="0.25">
      <c r="A26" s="295" t="s">
        <v>111</v>
      </c>
      <c r="B26" s="295"/>
      <c r="C26" s="295"/>
      <c r="D26" s="295"/>
      <c r="E26" s="295"/>
      <c r="F26" s="295"/>
      <c r="G26" s="295"/>
      <c r="H26" s="295"/>
      <c r="I26" s="295"/>
      <c r="J26" s="102" t="str">
        <f>IF('Interactive Form'!J24="","",'Interactive Form'!J24)</f>
        <v/>
      </c>
      <c r="K26" s="102" t="str">
        <f>IF('Interactive Form'!K24="","",'Interactive Form'!K24)</f>
        <v>n/a</v>
      </c>
      <c r="L26" s="102" t="str">
        <f>IF('Interactive Form'!L24="","",'Interactive Form'!L24)</f>
        <v/>
      </c>
      <c r="M26" s="102" t="str">
        <f>IF('Interactive Form'!M24="","",'Interactive Form'!M24)</f>
        <v>n/a</v>
      </c>
      <c r="N26" s="102" t="str">
        <f>IF('Interactive Form'!N24="","",'Interactive Form'!N24)</f>
        <v/>
      </c>
      <c r="O26" s="102" t="str">
        <f>IF('Interactive Form'!O24="","",'Interactive Form'!O24)</f>
        <v>n/a</v>
      </c>
      <c r="P26" s="102" t="str">
        <f>IF('Interactive Form'!P24="","",'Interactive Form'!P24)</f>
        <v/>
      </c>
      <c r="Q26" s="102" t="str">
        <f>IF('Interactive Form'!Q24="","",'Interactive Form'!Q24)</f>
        <v>n/a</v>
      </c>
      <c r="R26" s="132" t="s">
        <v>1</v>
      </c>
    </row>
    <row r="27" spans="1:21" x14ac:dyDescent="0.25">
      <c r="A27" s="316" t="s">
        <v>107</v>
      </c>
      <c r="B27" s="316"/>
      <c r="C27" s="316"/>
      <c r="D27" s="316"/>
      <c r="E27" s="316"/>
      <c r="F27" s="316"/>
      <c r="G27" s="316"/>
      <c r="H27" s="316"/>
      <c r="I27" s="316"/>
      <c r="J27" s="102" t="str">
        <f>IF('Interactive Form'!J25="","",'Interactive Form'!J25)</f>
        <v/>
      </c>
      <c r="K27" s="102" t="str">
        <f>IF('Interactive Form'!K25="","",'Interactive Form'!K25)</f>
        <v>n/a</v>
      </c>
      <c r="L27" s="102" t="str">
        <f>IF('Interactive Form'!L25="","",'Interactive Form'!L25)</f>
        <v/>
      </c>
      <c r="M27" s="102" t="str">
        <f>IF('Interactive Form'!M25="","",'Interactive Form'!M25)</f>
        <v>n/a</v>
      </c>
      <c r="N27" s="102" t="str">
        <f>IF('Interactive Form'!N25="","",'Interactive Form'!N25)</f>
        <v/>
      </c>
      <c r="O27" s="102" t="str">
        <f>IF('Interactive Form'!O25="","",'Interactive Form'!O25)</f>
        <v>n/a</v>
      </c>
      <c r="P27" s="102" t="str">
        <f>IF('Interactive Form'!P25="","",'Interactive Form'!P25)</f>
        <v/>
      </c>
      <c r="Q27" s="102" t="str">
        <f>IF('Interactive Form'!Q25="","",'Interactive Form'!Q25)</f>
        <v>n/a</v>
      </c>
      <c r="R27" s="132" t="s">
        <v>1</v>
      </c>
    </row>
    <row r="28" spans="1:21" x14ac:dyDescent="0.25">
      <c r="A28" s="316" t="s">
        <v>106</v>
      </c>
      <c r="B28" s="316"/>
      <c r="C28" s="316"/>
      <c r="D28" s="316"/>
      <c r="E28" s="316"/>
      <c r="F28" s="316"/>
      <c r="G28" s="316"/>
      <c r="H28" s="316"/>
      <c r="I28" s="316"/>
      <c r="J28" s="102" t="str">
        <f>IF('Interactive Form'!J26="","",'Interactive Form'!J26)</f>
        <v>n/a</v>
      </c>
      <c r="K28" s="102" t="str">
        <f>IF('Interactive Form'!K26="","",'Interactive Form'!K26)</f>
        <v/>
      </c>
      <c r="L28" s="102" t="str">
        <f>IF('Interactive Form'!L26="","",'Interactive Form'!L26)</f>
        <v>n/a</v>
      </c>
      <c r="M28" s="102" t="str">
        <f>IF('Interactive Form'!M26="","",'Interactive Form'!M26)</f>
        <v/>
      </c>
      <c r="N28" s="102" t="str">
        <f>IF('Interactive Form'!N26="","",'Interactive Form'!N26)</f>
        <v>n/a</v>
      </c>
      <c r="O28" s="102" t="str">
        <f>IF('Interactive Form'!O26="","",'Interactive Form'!O26)</f>
        <v/>
      </c>
      <c r="P28" s="102" t="str">
        <f>IF('Interactive Form'!P26="","",'Interactive Form'!P26)</f>
        <v>n/a</v>
      </c>
      <c r="Q28" s="102" t="str">
        <f>IF('Interactive Form'!Q26="","",'Interactive Form'!Q26)</f>
        <v/>
      </c>
      <c r="R28" s="132" t="s">
        <v>1</v>
      </c>
    </row>
    <row r="29" spans="1:21" x14ac:dyDescent="0.25">
      <c r="A29" s="316" t="s">
        <v>104</v>
      </c>
      <c r="B29" s="316"/>
      <c r="C29" s="316"/>
      <c r="D29" s="316"/>
      <c r="E29" s="316"/>
      <c r="F29" s="316"/>
      <c r="G29" s="316"/>
      <c r="H29" s="316"/>
      <c r="I29" s="316"/>
      <c r="J29" s="102" t="str">
        <f>IF('Interactive Form'!J27="","",'Interactive Form'!J27)</f>
        <v>n/a</v>
      </c>
      <c r="K29" s="102" t="str">
        <f>IF('Interactive Form'!K27="","",'Interactive Form'!K27)</f>
        <v/>
      </c>
      <c r="L29" s="102" t="str">
        <f>IF('Interactive Form'!L27="","",'Interactive Form'!L27)</f>
        <v>n/a</v>
      </c>
      <c r="M29" s="102" t="str">
        <f>IF('Interactive Form'!M27="","",'Interactive Form'!M27)</f>
        <v/>
      </c>
      <c r="N29" s="102" t="str">
        <f>IF('Interactive Form'!N27="","",'Interactive Form'!N27)</f>
        <v>n/a</v>
      </c>
      <c r="O29" s="102" t="str">
        <f>IF('Interactive Form'!O27="","",'Interactive Form'!O27)</f>
        <v/>
      </c>
      <c r="P29" s="102" t="str">
        <f>IF('Interactive Form'!P27="","",'Interactive Form'!P27)</f>
        <v>n/a</v>
      </c>
      <c r="Q29" s="102" t="str">
        <f>IF('Interactive Form'!Q27="","",'Interactive Form'!Q27)</f>
        <v/>
      </c>
      <c r="R29" s="132" t="s">
        <v>2</v>
      </c>
    </row>
    <row r="30" spans="1:21" x14ac:dyDescent="0.25">
      <c r="A30" s="55"/>
      <c r="B30" s="55"/>
      <c r="C30" s="55"/>
      <c r="D30" s="55"/>
      <c r="E30" s="55"/>
      <c r="F30" s="55"/>
      <c r="G30" s="55"/>
      <c r="H30" s="55"/>
      <c r="I30" s="55"/>
      <c r="J30" s="55"/>
      <c r="K30" s="55"/>
      <c r="L30" s="55"/>
      <c r="M30" s="55"/>
      <c r="N30" s="55"/>
      <c r="O30" s="55"/>
      <c r="P30" s="55"/>
      <c r="Q30" s="55"/>
      <c r="R30" s="55"/>
    </row>
    <row r="31" spans="1:21" x14ac:dyDescent="0.25">
      <c r="A31" s="310"/>
      <c r="B31" s="312" t="s">
        <v>142</v>
      </c>
      <c r="C31" s="312"/>
      <c r="D31" s="312"/>
      <c r="E31" s="312"/>
      <c r="F31" s="312"/>
      <c r="G31" s="313"/>
      <c r="H31" s="293" t="s">
        <v>143</v>
      </c>
      <c r="I31" s="294"/>
      <c r="J31" s="292" t="s">
        <v>147</v>
      </c>
      <c r="K31" s="292"/>
      <c r="L31" s="292"/>
      <c r="M31" s="292"/>
      <c r="N31" s="292"/>
      <c r="O31" s="292"/>
      <c r="P31" s="292"/>
      <c r="Q31" s="292"/>
      <c r="R31" s="292"/>
    </row>
    <row r="32" spans="1:21" s="68" customFormat="1" ht="13.5" x14ac:dyDescent="0.25">
      <c r="A32" s="311"/>
      <c r="B32" s="314"/>
      <c r="C32" s="314"/>
      <c r="D32" s="314"/>
      <c r="E32" s="314"/>
      <c r="F32" s="314"/>
      <c r="G32" s="315"/>
      <c r="H32" s="104" t="s">
        <v>145</v>
      </c>
      <c r="I32" s="105" t="s">
        <v>146</v>
      </c>
      <c r="J32" s="106">
        <f>J$6</f>
        <v>1</v>
      </c>
      <c r="K32" s="106">
        <f t="shared" ref="K32:Q32" si="1">K$6</f>
        <v>2</v>
      </c>
      <c r="L32" s="106">
        <f t="shared" si="1"/>
        <v>3</v>
      </c>
      <c r="M32" s="106">
        <f t="shared" si="1"/>
        <v>4</v>
      </c>
      <c r="N32" s="106">
        <f t="shared" si="1"/>
        <v>5</v>
      </c>
      <c r="O32" s="106">
        <f t="shared" si="1"/>
        <v>6</v>
      </c>
      <c r="P32" s="106">
        <f t="shared" si="1"/>
        <v>7</v>
      </c>
      <c r="Q32" s="106">
        <f t="shared" si="1"/>
        <v>8</v>
      </c>
      <c r="R32" s="103"/>
    </row>
    <row r="33" spans="1:21" x14ac:dyDescent="0.25">
      <c r="A33" s="308" t="s">
        <v>100</v>
      </c>
      <c r="B33" s="309"/>
      <c r="C33" s="309"/>
      <c r="D33" s="309"/>
      <c r="E33" s="309"/>
      <c r="F33" s="309"/>
      <c r="G33" s="309"/>
      <c r="H33" s="100">
        <f>IF('Interactive Form'!H30="","",'Interactive Form'!H30)</f>
        <v>20</v>
      </c>
      <c r="I33" s="101">
        <f>IF('Interactive Form'!I30="","",'Interactive Form'!I30)</f>
        <v>20</v>
      </c>
      <c r="J33" s="99">
        <f>IF('Interactive Form'!J30="","",'Interactive Form'!J30)</f>
        <v>20</v>
      </c>
      <c r="K33" s="99">
        <f>IF('Interactive Form'!K30="","",'Interactive Form'!K30)</f>
        <v>20</v>
      </c>
      <c r="L33" s="99">
        <f>IF('Interactive Form'!L30="","",'Interactive Form'!L30)</f>
        <v>20</v>
      </c>
      <c r="M33" s="99">
        <f>IF('Interactive Form'!M30="","",'Interactive Form'!M30)</f>
        <v>20</v>
      </c>
      <c r="N33" s="99">
        <f>IF('Interactive Form'!N30="","",'Interactive Form'!N30)</f>
        <v>20</v>
      </c>
      <c r="O33" s="99">
        <f>IF('Interactive Form'!O30="","",'Interactive Form'!O30)</f>
        <v>20</v>
      </c>
      <c r="P33" s="99">
        <f>IF('Interactive Form'!P30="","",'Interactive Form'!P30)</f>
        <v>20</v>
      </c>
      <c r="Q33" s="99">
        <f>IF('Interactive Form'!Q30="","",'Interactive Form'!Q30)</f>
        <v>20</v>
      </c>
      <c r="R33" s="132" t="s">
        <v>2</v>
      </c>
      <c r="U33" s="38"/>
    </row>
    <row r="34" spans="1:21" x14ac:dyDescent="0.25">
      <c r="A34" s="308" t="s">
        <v>101</v>
      </c>
      <c r="B34" s="309"/>
      <c r="C34" s="309"/>
      <c r="D34" s="309"/>
      <c r="E34" s="309"/>
      <c r="F34" s="309"/>
      <c r="G34" s="309"/>
      <c r="H34" s="100">
        <f>IF('Interactive Form'!H31="","",'Interactive Form'!H31)</f>
        <v>3</v>
      </c>
      <c r="I34" s="101">
        <f>IF('Interactive Form'!I31="","",'Interactive Form'!I31)</f>
        <v>3</v>
      </c>
      <c r="J34" s="99">
        <f>IF('Interactive Form'!J31="","",'Interactive Form'!J31)</f>
        <v>3</v>
      </c>
      <c r="K34" s="99">
        <f>IF('Interactive Form'!K31="","",'Interactive Form'!K31)</f>
        <v>3</v>
      </c>
      <c r="L34" s="99">
        <f>IF('Interactive Form'!L31="","",'Interactive Form'!L31)</f>
        <v>3</v>
      </c>
      <c r="M34" s="99">
        <f>IF('Interactive Form'!M31="","",'Interactive Form'!M31)</f>
        <v>3</v>
      </c>
      <c r="N34" s="99">
        <f>IF('Interactive Form'!N31="","",'Interactive Form'!N31)</f>
        <v>3</v>
      </c>
      <c r="O34" s="99">
        <f>IF('Interactive Form'!O31="","",'Interactive Form'!O31)</f>
        <v>3</v>
      </c>
      <c r="P34" s="99">
        <f>IF('Interactive Form'!P31="","",'Interactive Form'!P31)</f>
        <v>3</v>
      </c>
      <c r="Q34" s="99">
        <f>IF('Interactive Form'!Q31="","",'Interactive Form'!Q31)</f>
        <v>3</v>
      </c>
      <c r="R34" s="132" t="s">
        <v>1</v>
      </c>
      <c r="U34" s="38"/>
    </row>
    <row r="35" spans="1:21" x14ac:dyDescent="0.25">
      <c r="A35" s="308" t="s">
        <v>91</v>
      </c>
      <c r="B35" s="309"/>
      <c r="C35" s="309"/>
      <c r="D35" s="309"/>
      <c r="E35" s="309"/>
      <c r="F35" s="309"/>
      <c r="G35" s="309"/>
      <c r="H35" s="100" t="str">
        <f>IF('Interactive Form'!H32="","",'Interactive Form'!H32)</f>
        <v/>
      </c>
      <c r="I35" s="101">
        <f>IF('Interactive Form'!I32="","",'Interactive Form'!I32)</f>
        <v>7</v>
      </c>
      <c r="J35" s="99" t="str">
        <f>IF('Interactive Form'!J32="","",'Interactive Form'!J32)</f>
        <v/>
      </c>
      <c r="K35" s="99">
        <f>IF('Interactive Form'!K32="","",'Interactive Form'!K32)</f>
        <v>7</v>
      </c>
      <c r="L35" s="99" t="str">
        <f>IF('Interactive Form'!L32="","",'Interactive Form'!L32)</f>
        <v/>
      </c>
      <c r="M35" s="99">
        <f>IF('Interactive Form'!M32="","",'Interactive Form'!M32)</f>
        <v>7</v>
      </c>
      <c r="N35" s="99" t="str">
        <f>IF('Interactive Form'!N32="","",'Interactive Form'!N32)</f>
        <v/>
      </c>
      <c r="O35" s="99">
        <f>IF('Interactive Form'!O32="","",'Interactive Form'!O32)</f>
        <v>7</v>
      </c>
      <c r="P35" s="99" t="str">
        <f>IF('Interactive Form'!P32="","",'Interactive Form'!P32)</f>
        <v/>
      </c>
      <c r="Q35" s="99">
        <f>IF('Interactive Form'!Q32="","",'Interactive Form'!Q32)</f>
        <v>7</v>
      </c>
      <c r="R35" s="132" t="s">
        <v>0</v>
      </c>
    </row>
    <row r="36" spans="1:21" x14ac:dyDescent="0.25">
      <c r="A36" s="308" t="s">
        <v>90</v>
      </c>
      <c r="B36" s="309"/>
      <c r="C36" s="309"/>
      <c r="D36" s="309"/>
      <c r="E36" s="309"/>
      <c r="F36" s="309"/>
      <c r="G36" s="309"/>
      <c r="H36" s="100" t="str">
        <f>IF('Interactive Form'!H33="","",'Interactive Form'!H33)</f>
        <v/>
      </c>
      <c r="I36" s="101">
        <f>IF('Interactive Form'!I33="","",'Interactive Form'!I33)</f>
        <v>88</v>
      </c>
      <c r="J36" s="99" t="str">
        <f>IF('Interactive Form'!J33="","",'Interactive Form'!J33)</f>
        <v/>
      </c>
      <c r="K36" s="99">
        <f>IF('Interactive Form'!K33="","",'Interactive Form'!K33)</f>
        <v>88</v>
      </c>
      <c r="L36" s="99" t="str">
        <f>IF('Interactive Form'!L33="","",'Interactive Form'!L33)</f>
        <v/>
      </c>
      <c r="M36" s="99">
        <f>IF('Interactive Form'!M33="","",'Interactive Form'!M33)</f>
        <v>88</v>
      </c>
      <c r="N36" s="99" t="str">
        <f>IF('Interactive Form'!N33="","",'Interactive Form'!N33)</f>
        <v/>
      </c>
      <c r="O36" s="99">
        <f>IF('Interactive Form'!O33="","",'Interactive Form'!O33)</f>
        <v>88</v>
      </c>
      <c r="P36" s="99" t="str">
        <f>IF('Interactive Form'!P33="","",'Interactive Form'!P33)</f>
        <v/>
      </c>
      <c r="Q36" s="99">
        <f>IF('Interactive Form'!Q33="","",'Interactive Form'!Q33)</f>
        <v>88</v>
      </c>
      <c r="R36" s="132" t="s">
        <v>11</v>
      </c>
    </row>
    <row r="37" spans="1:21" x14ac:dyDescent="0.25">
      <c r="A37" s="308" t="s">
        <v>144</v>
      </c>
      <c r="B37" s="309"/>
      <c r="C37" s="309"/>
      <c r="D37" s="309"/>
      <c r="E37" s="309"/>
      <c r="F37" s="309"/>
      <c r="G37" s="309"/>
      <c r="H37" s="100" t="str">
        <f>IF('Interactive Form'!H34="","",'Interactive Form'!H34)</f>
        <v/>
      </c>
      <c r="I37" s="101">
        <f>IF('Interactive Form'!I34="","",'Interactive Form'!I34)</f>
        <v>21</v>
      </c>
      <c r="J37" s="99" t="str">
        <f>IF('Interactive Form'!J34="","",'Interactive Form'!J34)</f>
        <v/>
      </c>
      <c r="K37" s="99">
        <f>IF('Interactive Form'!K34="","",'Interactive Form'!K34)</f>
        <v>21</v>
      </c>
      <c r="L37" s="99" t="str">
        <f>IF('Interactive Form'!L34="","",'Interactive Form'!L34)</f>
        <v/>
      </c>
      <c r="M37" s="99">
        <f>IF('Interactive Form'!M34="","",'Interactive Form'!M34)</f>
        <v>21</v>
      </c>
      <c r="N37" s="99" t="str">
        <f>IF('Interactive Form'!N34="","",'Interactive Form'!N34)</f>
        <v/>
      </c>
      <c r="O37" s="99">
        <f>IF('Interactive Form'!O34="","",'Interactive Form'!O34)</f>
        <v>21</v>
      </c>
      <c r="P37" s="99" t="str">
        <f>IF('Interactive Form'!P34="","",'Interactive Form'!P34)</f>
        <v/>
      </c>
      <c r="Q37" s="99">
        <f>IF('Interactive Form'!Q34="","",'Interactive Form'!Q34)</f>
        <v>21</v>
      </c>
      <c r="R37" s="132" t="s">
        <v>0</v>
      </c>
    </row>
    <row r="38" spans="1:21" ht="15" customHeight="1" x14ac:dyDescent="0.25">
      <c r="A38" s="308" t="s">
        <v>26</v>
      </c>
      <c r="B38" s="309"/>
      <c r="C38" s="309"/>
      <c r="D38" s="309"/>
      <c r="E38" s="309"/>
      <c r="F38" s="309"/>
      <c r="G38" s="309"/>
      <c r="H38" s="100" t="str">
        <f>IF('Interactive Form'!H35="","",'Interactive Form'!H35)</f>
        <v/>
      </c>
      <c r="I38" s="101">
        <f>IF('Interactive Form'!I35="","",'Interactive Form'!I35)</f>
        <v>600</v>
      </c>
      <c r="J38" s="99" t="str">
        <f>IF('Interactive Form'!J35="","",'Interactive Form'!J35)</f>
        <v/>
      </c>
      <c r="K38" s="99">
        <f>IF('Interactive Form'!K35="","",'Interactive Form'!K35)</f>
        <v>600</v>
      </c>
      <c r="L38" s="99" t="str">
        <f>IF('Interactive Form'!L35="","",'Interactive Form'!L35)</f>
        <v/>
      </c>
      <c r="M38" s="99">
        <f>IF('Interactive Form'!M35="","",'Interactive Form'!M35)</f>
        <v>600</v>
      </c>
      <c r="N38" s="99" t="str">
        <f>IF('Interactive Form'!N35="","",'Interactive Form'!N35)</f>
        <v/>
      </c>
      <c r="O38" s="99">
        <f>IF('Interactive Form'!O35="","",'Interactive Form'!O35)</f>
        <v>600</v>
      </c>
      <c r="P38" s="99" t="str">
        <f>IF('Interactive Form'!P35="","",'Interactive Form'!P35)</f>
        <v/>
      </c>
      <c r="Q38" s="99">
        <f>IF('Interactive Form'!Q35="","",'Interactive Form'!Q35)</f>
        <v>600</v>
      </c>
      <c r="R38" s="132" t="s">
        <v>2</v>
      </c>
    </row>
    <row r="39" spans="1:21" x14ac:dyDescent="0.25">
      <c r="A39" s="308" t="s">
        <v>25</v>
      </c>
      <c r="B39" s="309"/>
      <c r="C39" s="309"/>
      <c r="D39" s="309"/>
      <c r="E39" s="309"/>
      <c r="F39" s="309"/>
      <c r="G39" s="309"/>
      <c r="H39" s="100" t="str">
        <f>IF('Interactive Form'!H36="","",'Interactive Form'!H36)</f>
        <v/>
      </c>
      <c r="I39" s="101">
        <f>IF('Interactive Form'!I36="","",'Interactive Form'!I36)</f>
        <v>900</v>
      </c>
      <c r="J39" s="99" t="str">
        <f>IF('Interactive Form'!J36="","",'Interactive Form'!J36)</f>
        <v/>
      </c>
      <c r="K39" s="99">
        <f>IF('Interactive Form'!K36="","",'Interactive Form'!K36)</f>
        <v>900</v>
      </c>
      <c r="L39" s="99" t="str">
        <f>IF('Interactive Form'!L36="","",'Interactive Form'!L36)</f>
        <v/>
      </c>
      <c r="M39" s="99">
        <f>IF('Interactive Form'!M36="","",'Interactive Form'!M36)</f>
        <v>900</v>
      </c>
      <c r="N39" s="99" t="str">
        <f>IF('Interactive Form'!N36="","",'Interactive Form'!N36)</f>
        <v/>
      </c>
      <c r="O39" s="99">
        <f>IF('Interactive Form'!O36="","",'Interactive Form'!O36)</f>
        <v>900</v>
      </c>
      <c r="P39" s="99" t="str">
        <f>IF('Interactive Form'!P36="","",'Interactive Form'!P36)</f>
        <v/>
      </c>
      <c r="Q39" s="99">
        <f>IF('Interactive Form'!Q36="","",'Interactive Form'!Q36)</f>
        <v>900</v>
      </c>
      <c r="R39" s="132" t="s">
        <v>2</v>
      </c>
    </row>
    <row r="40" spans="1:21" x14ac:dyDescent="0.25">
      <c r="A40" s="308" t="s">
        <v>36</v>
      </c>
      <c r="B40" s="309"/>
      <c r="C40" s="309"/>
      <c r="D40" s="309"/>
      <c r="E40" s="309"/>
      <c r="F40" s="309"/>
      <c r="G40" s="309"/>
      <c r="H40" s="100" t="str">
        <f>IF('Interactive Form'!H37="","",'Interactive Form'!H37)</f>
        <v/>
      </c>
      <c r="I40" s="101">
        <f>IF('Interactive Form'!I37="","",'Interactive Form'!I37)</f>
        <v>35</v>
      </c>
      <c r="J40" s="99" t="str">
        <f>IF('Interactive Form'!J37="","",'Interactive Form'!J37)</f>
        <v/>
      </c>
      <c r="K40" s="99">
        <f>IF('Interactive Form'!K37="","",'Interactive Form'!K37)</f>
        <v>35</v>
      </c>
      <c r="L40" s="99" t="str">
        <f>IF('Interactive Form'!L37="","",'Interactive Form'!L37)</f>
        <v/>
      </c>
      <c r="M40" s="99">
        <f>IF('Interactive Form'!M37="","",'Interactive Form'!M37)</f>
        <v>35</v>
      </c>
      <c r="N40" s="99" t="str">
        <f>IF('Interactive Form'!N37="","",'Interactive Form'!N37)</f>
        <v/>
      </c>
      <c r="O40" s="99">
        <f>IF('Interactive Form'!O37="","",'Interactive Form'!O37)</f>
        <v>35</v>
      </c>
      <c r="P40" s="99" t="str">
        <f>IF('Interactive Form'!P37="","",'Interactive Form'!P37)</f>
        <v/>
      </c>
      <c r="Q40" s="99">
        <f>IF('Interactive Form'!Q37="","",'Interactive Form'!Q37)</f>
        <v>35</v>
      </c>
      <c r="R40" s="132" t="s">
        <v>0</v>
      </c>
    </row>
    <row r="41" spans="1:21" x14ac:dyDescent="0.25">
      <c r="A41" s="308" t="s">
        <v>88</v>
      </c>
      <c r="B41" s="309"/>
      <c r="C41" s="309"/>
      <c r="D41" s="309"/>
      <c r="E41" s="309"/>
      <c r="F41" s="309"/>
      <c r="G41" s="309"/>
      <c r="H41" s="100">
        <f>IF('Interactive Form'!H38="","",'Interactive Form'!H38)</f>
        <v>20</v>
      </c>
      <c r="I41" s="101" t="str">
        <f>IF('Interactive Form'!I38="","",'Interactive Form'!I38)</f>
        <v/>
      </c>
      <c r="J41" s="99">
        <f>IF('Interactive Form'!J38="","",'Interactive Form'!J38)</f>
        <v>20</v>
      </c>
      <c r="K41" s="99" t="str">
        <f>IF('Interactive Form'!K38="","",'Interactive Form'!K38)</f>
        <v/>
      </c>
      <c r="L41" s="99">
        <f>IF('Interactive Form'!L38="","",'Interactive Form'!L38)</f>
        <v>20</v>
      </c>
      <c r="M41" s="99" t="str">
        <f>IF('Interactive Form'!M38="","",'Interactive Form'!M38)</f>
        <v/>
      </c>
      <c r="N41" s="99">
        <f>IF('Interactive Form'!N38="","",'Interactive Form'!N38)</f>
        <v>20</v>
      </c>
      <c r="O41" s="99" t="str">
        <f>IF('Interactive Form'!O38="","",'Interactive Form'!O38)</f>
        <v/>
      </c>
      <c r="P41" s="99">
        <f>IF('Interactive Form'!P38="","",'Interactive Form'!P38)</f>
        <v>20</v>
      </c>
      <c r="Q41" s="99" t="str">
        <f>IF('Interactive Form'!Q38="","",'Interactive Form'!Q38)</f>
        <v/>
      </c>
      <c r="R41" s="132" t="s">
        <v>0</v>
      </c>
    </row>
    <row r="42" spans="1:21" x14ac:dyDescent="0.25">
      <c r="A42" s="55"/>
      <c r="B42" s="55"/>
      <c r="C42" s="55"/>
      <c r="D42" s="55"/>
      <c r="E42" s="55"/>
      <c r="F42" s="55"/>
      <c r="G42" s="55"/>
      <c r="H42" s="55"/>
      <c r="I42" s="55"/>
      <c r="J42" s="55"/>
      <c r="K42" s="55"/>
      <c r="L42" s="55"/>
      <c r="M42" s="55"/>
      <c r="N42" s="55"/>
      <c r="O42" s="55"/>
      <c r="P42" s="55"/>
      <c r="Q42" s="55"/>
      <c r="R42" s="55"/>
    </row>
    <row r="43" spans="1:21" s="68" customFormat="1" ht="15" customHeight="1" x14ac:dyDescent="0.2">
      <c r="A43" s="161"/>
      <c r="B43" s="281" t="s">
        <v>84</v>
      </c>
      <c r="C43" s="281"/>
      <c r="D43" s="281"/>
      <c r="E43" s="281"/>
      <c r="F43" s="281"/>
      <c r="G43" s="281"/>
      <c r="H43" s="281"/>
      <c r="I43" s="281"/>
      <c r="J43" s="281"/>
      <c r="K43" s="281"/>
      <c r="L43" s="281"/>
      <c r="M43" s="281"/>
      <c r="N43" s="281"/>
      <c r="O43" s="281"/>
      <c r="P43" s="281"/>
      <c r="Q43" s="281"/>
      <c r="R43" s="281"/>
    </row>
    <row r="44" spans="1:21" x14ac:dyDescent="0.25">
      <c r="A44" s="282"/>
      <c r="B44" s="282"/>
      <c r="C44" s="282"/>
      <c r="D44" s="282"/>
      <c r="E44" s="282"/>
      <c r="F44" s="282"/>
      <c r="G44" s="282"/>
      <c r="H44" s="282"/>
      <c r="I44" s="282"/>
      <c r="J44" s="282"/>
      <c r="K44" s="282"/>
      <c r="L44" s="282"/>
      <c r="M44" s="282"/>
      <c r="N44" s="282"/>
      <c r="O44" s="282"/>
      <c r="P44" s="282"/>
      <c r="Q44" s="282"/>
      <c r="R44" s="282"/>
    </row>
    <row r="45" spans="1:21" ht="15" customHeight="1" x14ac:dyDescent="0.25">
      <c r="A45" s="282"/>
      <c r="B45" s="282"/>
      <c r="C45" s="282"/>
      <c r="D45" s="282"/>
      <c r="E45" s="282"/>
      <c r="F45" s="282"/>
      <c r="G45" s="282"/>
      <c r="H45" s="282"/>
      <c r="I45" s="282"/>
      <c r="J45" s="282"/>
      <c r="K45" s="282"/>
      <c r="L45" s="282"/>
      <c r="M45" s="282"/>
      <c r="N45" s="282"/>
      <c r="O45" s="282"/>
      <c r="P45" s="282"/>
      <c r="Q45" s="282"/>
      <c r="R45" s="282"/>
    </row>
    <row r="46" spans="1:21" x14ac:dyDescent="0.25">
      <c r="A46" s="282"/>
      <c r="B46" s="282"/>
      <c r="C46" s="282"/>
      <c r="D46" s="282"/>
      <c r="E46" s="282"/>
      <c r="F46" s="282"/>
      <c r="G46" s="282"/>
      <c r="H46" s="282"/>
      <c r="I46" s="282"/>
      <c r="J46" s="282"/>
      <c r="K46" s="282"/>
      <c r="L46" s="282"/>
      <c r="M46" s="282"/>
      <c r="N46" s="282"/>
      <c r="O46" s="282"/>
      <c r="P46" s="282"/>
      <c r="Q46" s="282"/>
      <c r="R46" s="282"/>
    </row>
    <row r="47" spans="1:21" x14ac:dyDescent="0.25">
      <c r="A47" s="282"/>
      <c r="B47" s="282"/>
      <c r="C47" s="282"/>
      <c r="D47" s="282"/>
      <c r="E47" s="282"/>
      <c r="F47" s="282"/>
      <c r="G47" s="282"/>
      <c r="H47" s="282"/>
      <c r="I47" s="282"/>
      <c r="J47" s="282"/>
      <c r="K47" s="282"/>
      <c r="L47" s="282"/>
      <c r="M47" s="282"/>
      <c r="N47" s="282"/>
      <c r="O47" s="282"/>
      <c r="P47" s="282"/>
      <c r="Q47" s="282"/>
      <c r="R47" s="282"/>
    </row>
    <row r="48" spans="1:21" x14ac:dyDescent="0.25">
      <c r="A48" s="282"/>
      <c r="B48" s="282"/>
      <c r="C48" s="282"/>
      <c r="D48" s="282"/>
      <c r="E48" s="282"/>
      <c r="F48" s="282"/>
      <c r="G48" s="282"/>
      <c r="H48" s="282"/>
      <c r="I48" s="282"/>
      <c r="J48" s="282"/>
      <c r="K48" s="282"/>
      <c r="L48" s="282"/>
      <c r="M48" s="282"/>
      <c r="N48" s="282"/>
      <c r="O48" s="282"/>
      <c r="P48" s="282"/>
      <c r="Q48" s="282"/>
      <c r="R48" s="282"/>
    </row>
    <row r="49" spans="1:18" x14ac:dyDescent="0.25">
      <c r="A49" s="282"/>
      <c r="B49" s="282"/>
      <c r="C49" s="282"/>
      <c r="D49" s="282"/>
      <c r="E49" s="282"/>
      <c r="F49" s="282"/>
      <c r="G49" s="282"/>
      <c r="H49" s="282"/>
      <c r="I49" s="282"/>
      <c r="J49" s="282"/>
      <c r="K49" s="282"/>
      <c r="L49" s="282"/>
      <c r="M49" s="282"/>
      <c r="N49" s="282"/>
      <c r="O49" s="282"/>
      <c r="P49" s="282"/>
      <c r="Q49" s="282"/>
      <c r="R49" s="282"/>
    </row>
    <row r="50" spans="1:18" x14ac:dyDescent="0.25">
      <c r="A50" s="282"/>
      <c r="B50" s="282"/>
      <c r="C50" s="282"/>
      <c r="D50" s="282"/>
      <c r="E50" s="282"/>
      <c r="F50" s="282"/>
      <c r="G50" s="282"/>
      <c r="H50" s="282"/>
      <c r="I50" s="282"/>
      <c r="J50" s="282"/>
      <c r="K50" s="282"/>
      <c r="L50" s="282"/>
      <c r="M50" s="282"/>
      <c r="N50" s="282"/>
      <c r="O50" s="282"/>
      <c r="P50" s="282"/>
      <c r="Q50" s="282"/>
      <c r="R50" s="282"/>
    </row>
    <row r="51" spans="1:18" x14ac:dyDescent="0.25">
      <c r="A51" s="92"/>
      <c r="B51" s="92"/>
      <c r="C51" s="92"/>
      <c r="D51" s="92"/>
      <c r="E51" s="92"/>
      <c r="F51" s="92"/>
      <c r="G51" s="92"/>
      <c r="H51" s="92"/>
      <c r="I51" s="92"/>
      <c r="J51" s="93"/>
      <c r="K51" s="93"/>
      <c r="L51" s="93"/>
      <c r="M51" s="93"/>
      <c r="N51" s="93"/>
      <c r="O51" s="93"/>
      <c r="P51" s="93"/>
      <c r="Q51" s="93"/>
      <c r="R51" s="93"/>
    </row>
    <row r="52" spans="1:18" x14ac:dyDescent="0.25">
      <c r="A52" s="92"/>
      <c r="B52" s="92"/>
      <c r="C52" s="92"/>
      <c r="D52" s="92"/>
      <c r="E52" s="92"/>
      <c r="F52" s="92"/>
      <c r="G52" s="92"/>
      <c r="H52" s="92"/>
      <c r="I52" s="92"/>
      <c r="J52" s="93"/>
      <c r="K52" s="93"/>
      <c r="L52" s="93"/>
      <c r="M52" s="93"/>
      <c r="N52" s="93"/>
      <c r="O52" s="93"/>
      <c r="P52" s="93"/>
      <c r="Q52" s="93"/>
      <c r="R52" s="93"/>
    </row>
    <row r="53" spans="1:18" x14ac:dyDescent="0.25">
      <c r="A53" s="92"/>
      <c r="B53" s="92"/>
      <c r="C53" s="92"/>
      <c r="D53" s="92"/>
      <c r="E53" s="92"/>
      <c r="F53" s="92"/>
      <c r="G53" s="92"/>
      <c r="H53" s="92"/>
      <c r="I53" s="92"/>
      <c r="J53" s="93"/>
      <c r="K53" s="93"/>
      <c r="L53" s="93"/>
      <c r="M53" s="93"/>
      <c r="N53" s="93"/>
      <c r="O53" s="93"/>
      <c r="P53" s="93"/>
      <c r="Q53" s="93"/>
      <c r="R53" s="93"/>
    </row>
    <row r="54" spans="1:18" x14ac:dyDescent="0.25">
      <c r="A54" s="92"/>
      <c r="B54" s="92"/>
      <c r="C54" s="92"/>
      <c r="D54" s="92"/>
      <c r="E54" s="92"/>
      <c r="F54" s="92"/>
      <c r="G54" s="92"/>
      <c r="H54" s="92"/>
      <c r="I54" s="92"/>
      <c r="J54" s="93"/>
      <c r="K54" s="93"/>
      <c r="L54" s="93"/>
      <c r="M54" s="93"/>
      <c r="N54" s="93"/>
      <c r="O54" s="93"/>
      <c r="P54" s="93"/>
      <c r="Q54" s="93"/>
      <c r="R54" s="93"/>
    </row>
    <row r="55" spans="1:18" x14ac:dyDescent="0.25">
      <c r="J55" s="86"/>
    </row>
    <row r="64" spans="1:18" ht="15" customHeight="1" x14ac:dyDescent="0.25"/>
    <row r="78" ht="15" customHeight="1" x14ac:dyDescent="0.25"/>
    <row r="81" ht="15" customHeight="1" x14ac:dyDescent="0.25"/>
  </sheetData>
  <sheetProtection sheet="1" objects="1" scenarios="1"/>
  <mergeCells count="48">
    <mergeCell ref="A33:G33"/>
    <mergeCell ref="A34:G34"/>
    <mergeCell ref="A31:A32"/>
    <mergeCell ref="B31:G32"/>
    <mergeCell ref="A27:I27"/>
    <mergeCell ref="A28:I28"/>
    <mergeCell ref="A29:I29"/>
    <mergeCell ref="A41:G41"/>
    <mergeCell ref="A38:G38"/>
    <mergeCell ref="A39:G39"/>
    <mergeCell ref="A40:G40"/>
    <mergeCell ref="A35:G35"/>
    <mergeCell ref="A36:G36"/>
    <mergeCell ref="A37:G37"/>
    <mergeCell ref="B12:I12"/>
    <mergeCell ref="A13:I13"/>
    <mergeCell ref="A14:I14"/>
    <mergeCell ref="A9:I9"/>
    <mergeCell ref="B10:I10"/>
    <mergeCell ref="B21:G21"/>
    <mergeCell ref="H21:I21"/>
    <mergeCell ref="A18:I18"/>
    <mergeCell ref="A19:I19"/>
    <mergeCell ref="A15:I15"/>
    <mergeCell ref="A16:I16"/>
    <mergeCell ref="A17:I17"/>
    <mergeCell ref="A8:I8"/>
    <mergeCell ref="A3:B3"/>
    <mergeCell ref="A1:R1"/>
    <mergeCell ref="A2:R2"/>
    <mergeCell ref="H6:I6"/>
    <mergeCell ref="B6:G6"/>
    <mergeCell ref="B43:R43"/>
    <mergeCell ref="A44:R50"/>
    <mergeCell ref="C3:R3"/>
    <mergeCell ref="E4:F4"/>
    <mergeCell ref="G4:N4"/>
    <mergeCell ref="P4:R4"/>
    <mergeCell ref="J31:R31"/>
    <mergeCell ref="A4:C4"/>
    <mergeCell ref="H31:I31"/>
    <mergeCell ref="A22:I22"/>
    <mergeCell ref="A23:I23"/>
    <mergeCell ref="A24:I24"/>
    <mergeCell ref="A25:I25"/>
    <mergeCell ref="A26:I26"/>
    <mergeCell ref="B11:I11"/>
    <mergeCell ref="A7:I7"/>
  </mergeCells>
  <conditionalFormatting sqref="J33:J41 L33:L41 N33:N41 P33:P41">
    <cfRule type="cellIs" dxfId="1" priority="2" operator="notEqual">
      <formula>$H33</formula>
    </cfRule>
  </conditionalFormatting>
  <conditionalFormatting sqref="K33:K41 M33:M41 O33:O41 Q33:Q41">
    <cfRule type="cellIs" dxfId="0" priority="1" operator="notEqual">
      <formula>$I33</formula>
    </cfRule>
  </conditionalFormatting>
  <printOptions horizontalCentered="1"/>
  <pageMargins left="0.25" right="0.25" top="0.75" bottom="0.75" header="0.3" footer="0.3"/>
  <pageSetup scale="9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39"/>
  <sheetViews>
    <sheetView showGridLines="0" workbookViewId="0">
      <selection sqref="A1:B1"/>
    </sheetView>
  </sheetViews>
  <sheetFormatPr defaultRowHeight="15" x14ac:dyDescent="0.25"/>
  <cols>
    <col min="1" max="1" width="5.28515625" style="85" customWidth="1"/>
    <col min="2" max="2" width="85" style="85" customWidth="1"/>
    <col min="3" max="16384" width="9.140625" style="85"/>
  </cols>
  <sheetData>
    <row r="1" spans="1:2" x14ac:dyDescent="0.25">
      <c r="A1" s="269" t="s">
        <v>87</v>
      </c>
      <c r="B1" s="269"/>
    </row>
    <row r="2" spans="1:2" x14ac:dyDescent="0.25">
      <c r="A2" s="317" t="s">
        <v>71</v>
      </c>
      <c r="B2" s="317"/>
    </row>
    <row r="3" spans="1:2" x14ac:dyDescent="0.25">
      <c r="A3" s="318" t="str">
        <f>'Interactive Form'!A2:AK2</f>
        <v>Form Revision: 4/9/2019 by MDL</v>
      </c>
      <c r="B3" s="318"/>
    </row>
    <row r="5" spans="1:2" x14ac:dyDescent="0.25">
      <c r="A5" s="270" t="s">
        <v>156</v>
      </c>
      <c r="B5" s="271"/>
    </row>
    <row r="6" spans="1:2" x14ac:dyDescent="0.25">
      <c r="A6" s="274" t="s">
        <v>22</v>
      </c>
      <c r="B6" s="275"/>
    </row>
    <row r="7" spans="1:2" x14ac:dyDescent="0.25">
      <c r="A7" s="40"/>
      <c r="B7" s="41" t="s">
        <v>18</v>
      </c>
    </row>
    <row r="8" spans="1:2" x14ac:dyDescent="0.25">
      <c r="A8" s="40"/>
      <c r="B8" s="41" t="s">
        <v>47</v>
      </c>
    </row>
    <row r="9" spans="1:2" x14ac:dyDescent="0.25">
      <c r="A9" s="43"/>
      <c r="B9" s="44" t="s">
        <v>122</v>
      </c>
    </row>
    <row r="10" spans="1:2" x14ac:dyDescent="0.25">
      <c r="A10" s="266" t="s">
        <v>23</v>
      </c>
      <c r="B10" s="267"/>
    </row>
    <row r="11" spans="1:2" ht="15" customHeight="1" x14ac:dyDescent="0.25">
      <c r="A11" s="40"/>
      <c r="B11" s="276" t="s">
        <v>236</v>
      </c>
    </row>
    <row r="12" spans="1:2" x14ac:dyDescent="0.25">
      <c r="A12" s="40"/>
      <c r="B12" s="276"/>
    </row>
    <row r="13" spans="1:2" x14ac:dyDescent="0.25">
      <c r="A13" s="43"/>
      <c r="B13" s="44" t="s">
        <v>210</v>
      </c>
    </row>
    <row r="14" spans="1:2" x14ac:dyDescent="0.25">
      <c r="A14" s="277" t="s">
        <v>157</v>
      </c>
      <c r="B14" s="278"/>
    </row>
    <row r="15" spans="1:2" x14ac:dyDescent="0.25">
      <c r="A15" s="266" t="s">
        <v>53</v>
      </c>
      <c r="B15" s="267"/>
    </row>
    <row r="16" spans="1:2" x14ac:dyDescent="0.25">
      <c r="A16" s="45"/>
      <c r="B16" s="47" t="s">
        <v>54</v>
      </c>
    </row>
    <row r="17" spans="1:2" x14ac:dyDescent="0.25">
      <c r="A17" s="45"/>
      <c r="B17" s="47" t="s">
        <v>55</v>
      </c>
    </row>
    <row r="18" spans="1:2" x14ac:dyDescent="0.25">
      <c r="A18" s="43"/>
      <c r="B18" s="46" t="s">
        <v>56</v>
      </c>
    </row>
    <row r="19" spans="1:2" x14ac:dyDescent="0.25">
      <c r="A19" s="266" t="s">
        <v>48</v>
      </c>
      <c r="B19" s="267"/>
    </row>
    <row r="20" spans="1:2" x14ac:dyDescent="0.25">
      <c r="A20" s="45"/>
      <c r="B20" s="41" t="s">
        <v>49</v>
      </c>
    </row>
    <row r="21" spans="1:2" x14ac:dyDescent="0.25">
      <c r="A21" s="45"/>
      <c r="B21" s="41" t="s">
        <v>50</v>
      </c>
    </row>
    <row r="22" spans="1:2" x14ac:dyDescent="0.25">
      <c r="A22" s="40"/>
      <c r="B22" s="41" t="s">
        <v>51</v>
      </c>
    </row>
    <row r="23" spans="1:2" x14ac:dyDescent="0.25">
      <c r="A23" s="43"/>
      <c r="B23" s="46" t="s">
        <v>52</v>
      </c>
    </row>
    <row r="24" spans="1:2" x14ac:dyDescent="0.25">
      <c r="A24" s="266" t="s">
        <v>57</v>
      </c>
      <c r="B24" s="267"/>
    </row>
    <row r="25" spans="1:2" ht="15" customHeight="1" x14ac:dyDescent="0.25">
      <c r="A25" s="40"/>
      <c r="B25" s="279" t="s">
        <v>149</v>
      </c>
    </row>
    <row r="26" spans="1:2" x14ac:dyDescent="0.25">
      <c r="A26" s="48"/>
      <c r="B26" s="279"/>
    </row>
    <row r="27" spans="1:2" x14ac:dyDescent="0.25">
      <c r="A27" s="48"/>
      <c r="B27" s="279"/>
    </row>
    <row r="28" spans="1:2" ht="15" customHeight="1" x14ac:dyDescent="0.25">
      <c r="A28" s="45"/>
      <c r="B28" s="279" t="s">
        <v>58</v>
      </c>
    </row>
    <row r="29" spans="1:2" ht="15" customHeight="1" x14ac:dyDescent="0.25">
      <c r="A29" s="43"/>
      <c r="B29" s="280"/>
    </row>
    <row r="30" spans="1:2" x14ac:dyDescent="0.25">
      <c r="A30" s="269" t="s">
        <v>72</v>
      </c>
      <c r="B30" s="269"/>
    </row>
    <row r="31" spans="1:2" x14ac:dyDescent="0.25">
      <c r="A31" s="319" t="s">
        <v>73</v>
      </c>
      <c r="B31" s="320"/>
    </row>
    <row r="32" spans="1:2" ht="39" x14ac:dyDescent="0.25">
      <c r="A32" s="75"/>
      <c r="B32" s="163" t="s">
        <v>86</v>
      </c>
    </row>
    <row r="33" spans="1:2" x14ac:dyDescent="0.25">
      <c r="A33" s="319" t="s">
        <v>28</v>
      </c>
      <c r="B33" s="320"/>
    </row>
    <row r="34" spans="1:2" ht="26.25" x14ac:dyDescent="0.25">
      <c r="A34" s="72"/>
      <c r="B34" s="164" t="s">
        <v>74</v>
      </c>
    </row>
    <row r="35" spans="1:2" ht="26.25" x14ac:dyDescent="0.25">
      <c r="A35" s="75"/>
      <c r="B35" s="163" t="s">
        <v>40</v>
      </c>
    </row>
    <row r="36" spans="1:2" x14ac:dyDescent="0.25">
      <c r="A36" s="319" t="s">
        <v>33</v>
      </c>
      <c r="B36" s="320"/>
    </row>
    <row r="37" spans="1:2" ht="26.25" x14ac:dyDescent="0.25">
      <c r="A37" s="72"/>
      <c r="B37" s="164" t="s">
        <v>34</v>
      </c>
    </row>
    <row r="38" spans="1:2" x14ac:dyDescent="0.25">
      <c r="A38" s="72"/>
      <c r="B38" s="164" t="s">
        <v>83</v>
      </c>
    </row>
    <row r="39" spans="1:2" x14ac:dyDescent="0.25">
      <c r="A39" s="75"/>
      <c r="B39" s="163" t="s">
        <v>43</v>
      </c>
    </row>
  </sheetData>
  <sheetProtection sheet="1" objects="1" scenarios="1"/>
  <mergeCells count="17">
    <mergeCell ref="A36:B36"/>
    <mergeCell ref="A30:B30"/>
    <mergeCell ref="A33:B33"/>
    <mergeCell ref="A31:B31"/>
    <mergeCell ref="A14:B14"/>
    <mergeCell ref="A19:B19"/>
    <mergeCell ref="A15:B15"/>
    <mergeCell ref="A24:B24"/>
    <mergeCell ref="B25:B27"/>
    <mergeCell ref="B28:B29"/>
    <mergeCell ref="A10:B10"/>
    <mergeCell ref="B11:B12"/>
    <mergeCell ref="A5:B5"/>
    <mergeCell ref="A6:B6"/>
    <mergeCell ref="A1:B1"/>
    <mergeCell ref="A2:B2"/>
    <mergeCell ref="A3:B3"/>
  </mergeCells>
  <printOptions horizontalCentered="1"/>
  <pageMargins left="0.5" right="0.5" top="0.5" bottom="0.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O50"/>
  <sheetViews>
    <sheetView showGridLines="0" zoomScaleNormal="100" workbookViewId="0">
      <selection sqref="A1:O1"/>
    </sheetView>
  </sheetViews>
  <sheetFormatPr defaultRowHeight="15" x14ac:dyDescent="0.25"/>
  <cols>
    <col min="1" max="1" width="20.28515625" style="15" bestFit="1" customWidth="1"/>
    <col min="2" max="13" width="4.85546875" style="15" bestFit="1" customWidth="1"/>
    <col min="14" max="14" width="21" style="15" customWidth="1"/>
    <col min="15" max="16384" width="9.140625" style="15"/>
  </cols>
  <sheetData>
    <row r="1" spans="1:15" x14ac:dyDescent="0.25">
      <c r="A1" s="269" t="s">
        <v>87</v>
      </c>
      <c r="B1" s="269"/>
      <c r="C1" s="269"/>
      <c r="D1" s="269"/>
      <c r="E1" s="269"/>
      <c r="F1" s="269"/>
      <c r="G1" s="269"/>
      <c r="H1" s="269"/>
      <c r="I1" s="269"/>
      <c r="J1" s="269"/>
      <c r="K1" s="269"/>
      <c r="L1" s="269"/>
      <c r="M1" s="269"/>
      <c r="N1" s="269"/>
      <c r="O1" s="269"/>
    </row>
    <row r="2" spans="1:15" x14ac:dyDescent="0.25">
      <c r="A2" s="317" t="s">
        <v>29</v>
      </c>
      <c r="B2" s="317"/>
      <c r="C2" s="317"/>
      <c r="D2" s="317"/>
      <c r="E2" s="317"/>
      <c r="F2" s="317"/>
      <c r="G2" s="317"/>
      <c r="H2" s="317"/>
      <c r="I2" s="317"/>
      <c r="J2" s="317"/>
      <c r="K2" s="317"/>
      <c r="L2" s="317"/>
      <c r="M2" s="317"/>
      <c r="N2" s="317"/>
      <c r="O2" s="317"/>
    </row>
    <row r="3" spans="1:15" x14ac:dyDescent="0.25">
      <c r="A3" s="318" t="str">
        <f>'Interactive Form'!A2:AK2</f>
        <v>Form Revision: 4/9/2019 by MDL</v>
      </c>
      <c r="B3" s="318"/>
      <c r="C3" s="318"/>
      <c r="D3" s="318"/>
      <c r="E3" s="318"/>
      <c r="F3" s="318"/>
      <c r="G3" s="318"/>
      <c r="H3" s="318"/>
      <c r="I3" s="318"/>
      <c r="J3" s="318"/>
      <c r="K3" s="318"/>
      <c r="L3" s="318"/>
      <c r="M3" s="318"/>
      <c r="N3" s="318"/>
      <c r="O3" s="318"/>
    </row>
    <row r="4" spans="1:15" x14ac:dyDescent="0.25">
      <c r="A4" s="327" t="s">
        <v>30</v>
      </c>
      <c r="B4" s="328"/>
      <c r="C4" s="328"/>
      <c r="D4" s="328"/>
      <c r="E4" s="328"/>
      <c r="F4" s="328"/>
      <c r="G4" s="328"/>
      <c r="H4" s="328"/>
      <c r="I4" s="328"/>
      <c r="J4" s="328"/>
      <c r="K4" s="328"/>
      <c r="L4" s="328"/>
      <c r="M4" s="328"/>
      <c r="N4" s="328"/>
    </row>
    <row r="5" spans="1:15" x14ac:dyDescent="0.25">
      <c r="B5" s="341" t="s">
        <v>66</v>
      </c>
      <c r="C5" s="341"/>
      <c r="D5" s="341"/>
      <c r="E5" s="341"/>
      <c r="F5" s="341"/>
      <c r="G5" s="341"/>
      <c r="H5" s="341"/>
      <c r="I5" s="341"/>
      <c r="J5" s="341"/>
      <c r="K5" s="341"/>
      <c r="L5" s="341"/>
      <c r="M5" s="341"/>
      <c r="N5" s="341"/>
    </row>
    <row r="6" spans="1:15" x14ac:dyDescent="0.25">
      <c r="B6" s="347" t="s">
        <v>151</v>
      </c>
      <c r="C6" s="347"/>
      <c r="D6" s="347"/>
      <c r="E6" s="347"/>
      <c r="F6" s="347"/>
      <c r="G6" s="347"/>
      <c r="H6" s="347"/>
      <c r="I6" s="347"/>
      <c r="J6" s="347"/>
      <c r="K6" s="347"/>
      <c r="L6" s="347"/>
      <c r="M6" s="347"/>
      <c r="N6" s="347"/>
    </row>
    <row r="7" spans="1:15" ht="12" customHeight="1" x14ac:dyDescent="0.25">
      <c r="B7" s="16"/>
      <c r="C7" s="343" t="s">
        <v>41</v>
      </c>
      <c r="D7" s="343"/>
      <c r="E7" s="343"/>
      <c r="F7" s="343"/>
      <c r="G7" s="343"/>
      <c r="H7" s="343"/>
      <c r="I7" s="343"/>
      <c r="J7" s="343"/>
      <c r="K7" s="343"/>
      <c r="L7" s="343"/>
      <c r="M7" s="343"/>
      <c r="N7" s="343"/>
    </row>
    <row r="8" spans="1:15" ht="12" customHeight="1" x14ac:dyDescent="0.25">
      <c r="B8" s="16"/>
      <c r="C8" s="343" t="s">
        <v>42</v>
      </c>
      <c r="D8" s="343"/>
      <c r="E8" s="343"/>
      <c r="F8" s="343"/>
      <c r="G8" s="343"/>
      <c r="H8" s="343"/>
      <c r="I8" s="343"/>
      <c r="J8" s="343"/>
      <c r="K8" s="343"/>
      <c r="L8" s="343"/>
      <c r="M8" s="343"/>
      <c r="N8" s="343"/>
    </row>
    <row r="9" spans="1:15" x14ac:dyDescent="0.25">
      <c r="B9" s="342" t="s">
        <v>152</v>
      </c>
      <c r="C9" s="342"/>
      <c r="D9" s="342"/>
      <c r="E9" s="342"/>
      <c r="F9" s="342"/>
      <c r="G9" s="342"/>
      <c r="H9" s="342"/>
      <c r="I9" s="342"/>
      <c r="J9" s="342"/>
      <c r="K9" s="342"/>
      <c r="L9" s="342"/>
      <c r="M9" s="342"/>
    </row>
    <row r="10" spans="1:15" s="85" customFormat="1" x14ac:dyDescent="0.25">
      <c r="B10" s="342" t="s">
        <v>158</v>
      </c>
      <c r="C10" s="342"/>
      <c r="D10" s="342"/>
      <c r="E10" s="342"/>
      <c r="F10" s="342"/>
      <c r="G10" s="342"/>
      <c r="H10" s="342"/>
      <c r="I10" s="342"/>
      <c r="J10" s="342"/>
      <c r="K10" s="342"/>
      <c r="L10" s="342"/>
      <c r="M10" s="342"/>
    </row>
    <row r="11" spans="1:15" x14ac:dyDescent="0.25">
      <c r="A11" s="348" t="s">
        <v>59</v>
      </c>
      <c r="B11" s="348"/>
      <c r="C11" s="348"/>
      <c r="D11" s="348"/>
      <c r="E11" s="348"/>
      <c r="F11" s="348"/>
      <c r="G11" s="348"/>
      <c r="H11" s="348"/>
      <c r="I11" s="348"/>
      <c r="J11" s="348"/>
      <c r="K11" s="348"/>
      <c r="L11" s="348"/>
      <c r="M11" s="348"/>
      <c r="N11" s="348"/>
    </row>
    <row r="12" spans="1:15" x14ac:dyDescent="0.25">
      <c r="A12" s="21"/>
      <c r="B12" s="21"/>
      <c r="C12" s="21"/>
      <c r="D12" s="21"/>
      <c r="E12" s="21"/>
      <c r="F12" s="21"/>
      <c r="G12" s="21"/>
      <c r="H12" s="21"/>
      <c r="I12" s="21"/>
      <c r="J12" s="21"/>
      <c r="K12" s="21"/>
      <c r="L12" s="21"/>
      <c r="M12" s="21"/>
      <c r="N12" s="21"/>
    </row>
    <row r="13" spans="1:15" x14ac:dyDescent="0.25">
      <c r="A13" s="338" t="s">
        <v>39</v>
      </c>
      <c r="B13" s="332" t="s">
        <v>150</v>
      </c>
      <c r="C13" s="333"/>
      <c r="D13" s="333"/>
      <c r="E13" s="333"/>
      <c r="F13" s="333"/>
      <c r="G13" s="333"/>
      <c r="H13" s="333"/>
      <c r="I13" s="333"/>
      <c r="J13" s="333"/>
      <c r="K13" s="333"/>
      <c r="L13" s="333"/>
      <c r="M13" s="334"/>
      <c r="N13" s="329" t="s">
        <v>65</v>
      </c>
      <c r="O13" s="349" t="s">
        <v>153</v>
      </c>
    </row>
    <row r="14" spans="1:15" ht="15" customHeight="1" x14ac:dyDescent="0.25">
      <c r="A14" s="339"/>
      <c r="B14" s="335"/>
      <c r="C14" s="336"/>
      <c r="D14" s="336"/>
      <c r="E14" s="336"/>
      <c r="F14" s="336"/>
      <c r="G14" s="336"/>
      <c r="H14" s="336"/>
      <c r="I14" s="336"/>
      <c r="J14" s="336"/>
      <c r="K14" s="336"/>
      <c r="L14" s="336"/>
      <c r="M14" s="337"/>
      <c r="N14" s="330"/>
      <c r="O14" s="350"/>
    </row>
    <row r="15" spans="1:15" ht="15" customHeight="1" x14ac:dyDescent="0.25">
      <c r="A15" s="339"/>
      <c r="B15" s="344" t="s">
        <v>31</v>
      </c>
      <c r="C15" s="345"/>
      <c r="D15" s="345"/>
      <c r="E15" s="345"/>
      <c r="F15" s="345"/>
      <c r="G15" s="345"/>
      <c r="H15" s="345"/>
      <c r="I15" s="345"/>
      <c r="J15" s="345"/>
      <c r="K15" s="345"/>
      <c r="L15" s="345"/>
      <c r="M15" s="346"/>
      <c r="N15" s="330"/>
      <c r="O15" s="350"/>
    </row>
    <row r="16" spans="1:15" ht="15" customHeight="1" x14ac:dyDescent="0.25">
      <c r="A16" s="340"/>
      <c r="B16" s="19">
        <v>15</v>
      </c>
      <c r="C16" s="20">
        <v>20</v>
      </c>
      <c r="D16" s="20">
        <v>25</v>
      </c>
      <c r="E16" s="20">
        <v>30</v>
      </c>
      <c r="F16" s="20">
        <v>35</v>
      </c>
      <c r="G16" s="20">
        <v>40</v>
      </c>
      <c r="H16" s="20">
        <v>45</v>
      </c>
      <c r="I16" s="20">
        <v>50</v>
      </c>
      <c r="J16" s="20">
        <v>55</v>
      </c>
      <c r="K16" s="20">
        <v>60</v>
      </c>
      <c r="L16" s="20">
        <v>65</v>
      </c>
      <c r="M16" s="22">
        <v>70</v>
      </c>
      <c r="N16" s="331"/>
      <c r="O16" s="351"/>
    </row>
    <row r="17" spans="1:15" x14ac:dyDescent="0.25">
      <c r="A17" s="118">
        <v>0</v>
      </c>
      <c r="B17" s="10">
        <f>MROUND(3-((20+$A17)/((22/15)*(0.88*(B$16+7)))),0.1)</f>
        <v>2.3000000000000003</v>
      </c>
      <c r="C17" s="1">
        <f t="shared" ref="C17:M32" si="0">MROUND(3-((20+$A17)/((22/15)*(0.88*(C$16+7)))),0.1)</f>
        <v>2.4000000000000004</v>
      </c>
      <c r="D17" s="1">
        <f t="shared" si="0"/>
        <v>2.5</v>
      </c>
      <c r="E17" s="1">
        <f t="shared" si="0"/>
        <v>2.6</v>
      </c>
      <c r="F17" s="1">
        <f t="shared" si="0"/>
        <v>2.6</v>
      </c>
      <c r="G17" s="1">
        <f t="shared" si="0"/>
        <v>2.7</v>
      </c>
      <c r="H17" s="1">
        <f t="shared" si="0"/>
        <v>2.7</v>
      </c>
      <c r="I17" s="1">
        <f t="shared" si="0"/>
        <v>2.7</v>
      </c>
      <c r="J17" s="1">
        <f t="shared" si="0"/>
        <v>2.8000000000000003</v>
      </c>
      <c r="K17" s="1">
        <f t="shared" si="0"/>
        <v>2.8000000000000003</v>
      </c>
      <c r="L17" s="1">
        <f t="shared" si="0"/>
        <v>2.8000000000000003</v>
      </c>
      <c r="M17" s="9">
        <f t="shared" si="0"/>
        <v>2.8000000000000003</v>
      </c>
      <c r="N17" s="114">
        <f>MROUND(3-($A17/((22/15)*35)),0.1)</f>
        <v>3</v>
      </c>
      <c r="O17" s="115">
        <f>MROUND(3-(($A17+20)/((22/15)*20)),0.1)</f>
        <v>2.3000000000000003</v>
      </c>
    </row>
    <row r="18" spans="1:15" x14ac:dyDescent="0.25">
      <c r="A18" s="118">
        <v>5</v>
      </c>
      <c r="B18" s="10">
        <f t="shared" ref="B18:M46" si="1">MROUND(3-((20+$A18)/((22/15)*(0.88*(B$16+7)))),0.1)</f>
        <v>2.1</v>
      </c>
      <c r="C18" s="1">
        <f t="shared" si="0"/>
        <v>2.3000000000000003</v>
      </c>
      <c r="D18" s="1">
        <f t="shared" si="0"/>
        <v>2.4000000000000004</v>
      </c>
      <c r="E18" s="1">
        <f t="shared" si="0"/>
        <v>2.5</v>
      </c>
      <c r="F18" s="1">
        <f t="shared" si="0"/>
        <v>2.5</v>
      </c>
      <c r="G18" s="1">
        <f t="shared" si="0"/>
        <v>2.6</v>
      </c>
      <c r="H18" s="1">
        <f t="shared" si="0"/>
        <v>2.6</v>
      </c>
      <c r="I18" s="1">
        <f t="shared" si="0"/>
        <v>2.7</v>
      </c>
      <c r="J18" s="1">
        <f t="shared" si="0"/>
        <v>2.7</v>
      </c>
      <c r="K18" s="1">
        <f t="shared" si="0"/>
        <v>2.7</v>
      </c>
      <c r="L18" s="1">
        <f t="shared" si="0"/>
        <v>2.7</v>
      </c>
      <c r="M18" s="9">
        <f t="shared" si="0"/>
        <v>2.7</v>
      </c>
      <c r="N18" s="114">
        <f t="shared" ref="N18:N47" si="2">MROUND(3-($A18/((22/15)*35)),0.1)</f>
        <v>2.9000000000000004</v>
      </c>
      <c r="O18" s="115">
        <f t="shared" ref="O18:O30" si="3">MROUND(3-(($A18+20)/((22/15)*20)),0.1)</f>
        <v>2.1</v>
      </c>
    </row>
    <row r="19" spans="1:15" x14ac:dyDescent="0.25">
      <c r="A19" s="118">
        <v>10</v>
      </c>
      <c r="B19" s="10">
        <f t="shared" si="1"/>
        <v>1.9000000000000001</v>
      </c>
      <c r="C19" s="1">
        <f t="shared" si="0"/>
        <v>2.1</v>
      </c>
      <c r="D19" s="1">
        <f t="shared" si="0"/>
        <v>2.3000000000000003</v>
      </c>
      <c r="E19" s="1">
        <f t="shared" si="0"/>
        <v>2.4000000000000004</v>
      </c>
      <c r="F19" s="1">
        <f t="shared" si="0"/>
        <v>2.4000000000000004</v>
      </c>
      <c r="G19" s="1">
        <f t="shared" si="0"/>
        <v>2.5</v>
      </c>
      <c r="H19" s="1">
        <f t="shared" si="0"/>
        <v>2.6</v>
      </c>
      <c r="I19" s="1">
        <f t="shared" si="0"/>
        <v>2.6</v>
      </c>
      <c r="J19" s="1">
        <f t="shared" si="0"/>
        <v>2.6</v>
      </c>
      <c r="K19" s="1">
        <f t="shared" si="0"/>
        <v>2.7</v>
      </c>
      <c r="L19" s="1">
        <f t="shared" si="0"/>
        <v>2.7</v>
      </c>
      <c r="M19" s="9">
        <f t="shared" si="0"/>
        <v>2.7</v>
      </c>
      <c r="N19" s="114">
        <f t="shared" si="2"/>
        <v>2.8000000000000003</v>
      </c>
      <c r="O19" s="115">
        <f t="shared" si="3"/>
        <v>2</v>
      </c>
    </row>
    <row r="20" spans="1:15" x14ac:dyDescent="0.25">
      <c r="A20" s="118">
        <v>15</v>
      </c>
      <c r="B20" s="10">
        <f t="shared" si="1"/>
        <v>1.8</v>
      </c>
      <c r="C20" s="1">
        <f t="shared" si="0"/>
        <v>2</v>
      </c>
      <c r="D20" s="1">
        <f t="shared" si="0"/>
        <v>2.2000000000000002</v>
      </c>
      <c r="E20" s="1">
        <f t="shared" si="0"/>
        <v>2.3000000000000003</v>
      </c>
      <c r="F20" s="1">
        <f t="shared" si="0"/>
        <v>2.4000000000000004</v>
      </c>
      <c r="G20" s="1">
        <f t="shared" si="0"/>
        <v>2.4000000000000004</v>
      </c>
      <c r="H20" s="1">
        <f t="shared" si="0"/>
        <v>2.5</v>
      </c>
      <c r="I20" s="1">
        <f t="shared" si="0"/>
        <v>2.5</v>
      </c>
      <c r="J20" s="1">
        <f t="shared" si="0"/>
        <v>2.6</v>
      </c>
      <c r="K20" s="1">
        <f t="shared" si="0"/>
        <v>2.6</v>
      </c>
      <c r="L20" s="1">
        <f t="shared" si="0"/>
        <v>2.6</v>
      </c>
      <c r="M20" s="9">
        <f t="shared" si="0"/>
        <v>2.6</v>
      </c>
      <c r="N20" s="114">
        <f t="shared" si="2"/>
        <v>2.7</v>
      </c>
      <c r="O20" s="115">
        <f t="shared" si="3"/>
        <v>1.8</v>
      </c>
    </row>
    <row r="21" spans="1:15" x14ac:dyDescent="0.25">
      <c r="A21" s="118">
        <v>20</v>
      </c>
      <c r="B21" s="10">
        <f t="shared" si="1"/>
        <v>1.6</v>
      </c>
      <c r="C21" s="1">
        <f t="shared" si="0"/>
        <v>1.9000000000000001</v>
      </c>
      <c r="D21" s="1">
        <f t="shared" si="0"/>
        <v>2</v>
      </c>
      <c r="E21" s="1">
        <f t="shared" si="0"/>
        <v>2.2000000000000002</v>
      </c>
      <c r="F21" s="1">
        <f t="shared" si="0"/>
        <v>2.3000000000000003</v>
      </c>
      <c r="G21" s="1">
        <f t="shared" si="0"/>
        <v>2.3000000000000003</v>
      </c>
      <c r="H21" s="1">
        <f t="shared" si="0"/>
        <v>2.4000000000000004</v>
      </c>
      <c r="I21" s="1">
        <f t="shared" si="0"/>
        <v>2.5</v>
      </c>
      <c r="J21" s="1">
        <f t="shared" si="0"/>
        <v>2.5</v>
      </c>
      <c r="K21" s="1">
        <f t="shared" si="0"/>
        <v>2.5</v>
      </c>
      <c r="L21" s="1">
        <f t="shared" si="0"/>
        <v>2.6</v>
      </c>
      <c r="M21" s="9">
        <f t="shared" si="0"/>
        <v>2.6</v>
      </c>
      <c r="N21" s="114">
        <f t="shared" si="2"/>
        <v>2.6</v>
      </c>
      <c r="O21" s="115">
        <f t="shared" si="3"/>
        <v>1.6</v>
      </c>
    </row>
    <row r="22" spans="1:15" x14ac:dyDescent="0.25">
      <c r="A22" s="118">
        <v>25</v>
      </c>
      <c r="B22" s="10">
        <f t="shared" si="1"/>
        <v>1.4000000000000001</v>
      </c>
      <c r="C22" s="1">
        <f t="shared" si="0"/>
        <v>1.7000000000000002</v>
      </c>
      <c r="D22" s="1">
        <f t="shared" si="0"/>
        <v>1.9000000000000001</v>
      </c>
      <c r="E22" s="1">
        <f t="shared" si="0"/>
        <v>2.1</v>
      </c>
      <c r="F22" s="1">
        <f t="shared" si="0"/>
        <v>2.2000000000000002</v>
      </c>
      <c r="G22" s="1">
        <f t="shared" si="0"/>
        <v>2.3000000000000003</v>
      </c>
      <c r="H22" s="1">
        <f t="shared" si="0"/>
        <v>2.3000000000000003</v>
      </c>
      <c r="I22" s="1">
        <f t="shared" si="0"/>
        <v>2.4000000000000004</v>
      </c>
      <c r="J22" s="1">
        <f t="shared" si="0"/>
        <v>2.4000000000000004</v>
      </c>
      <c r="K22" s="1">
        <f t="shared" si="0"/>
        <v>2.5</v>
      </c>
      <c r="L22" s="1">
        <f t="shared" si="0"/>
        <v>2.5</v>
      </c>
      <c r="M22" s="9">
        <f t="shared" si="0"/>
        <v>2.5</v>
      </c>
      <c r="N22" s="114">
        <f t="shared" si="2"/>
        <v>2.5</v>
      </c>
      <c r="O22" s="115">
        <f t="shared" si="3"/>
        <v>1.5</v>
      </c>
    </row>
    <row r="23" spans="1:15" x14ac:dyDescent="0.25">
      <c r="A23" s="118">
        <v>30</v>
      </c>
      <c r="B23" s="10">
        <f t="shared" si="1"/>
        <v>1.2000000000000002</v>
      </c>
      <c r="C23" s="1">
        <f t="shared" si="0"/>
        <v>1.6</v>
      </c>
      <c r="D23" s="1">
        <f t="shared" si="0"/>
        <v>1.8</v>
      </c>
      <c r="E23" s="1">
        <f t="shared" si="0"/>
        <v>2</v>
      </c>
      <c r="F23" s="1">
        <f t="shared" si="0"/>
        <v>2.1</v>
      </c>
      <c r="G23" s="1">
        <f t="shared" si="0"/>
        <v>2.2000000000000002</v>
      </c>
      <c r="H23" s="1">
        <f t="shared" si="0"/>
        <v>2.3000000000000003</v>
      </c>
      <c r="I23" s="1">
        <f t="shared" si="0"/>
        <v>2.3000000000000003</v>
      </c>
      <c r="J23" s="1">
        <f t="shared" si="0"/>
        <v>2.4000000000000004</v>
      </c>
      <c r="K23" s="1">
        <f t="shared" si="0"/>
        <v>2.4000000000000004</v>
      </c>
      <c r="L23" s="1">
        <f t="shared" si="0"/>
        <v>2.5</v>
      </c>
      <c r="M23" s="9">
        <f t="shared" si="0"/>
        <v>2.5</v>
      </c>
      <c r="N23" s="114">
        <f t="shared" si="2"/>
        <v>2.4000000000000004</v>
      </c>
      <c r="O23" s="115">
        <f t="shared" si="3"/>
        <v>1.3</v>
      </c>
    </row>
    <row r="24" spans="1:15" x14ac:dyDescent="0.25">
      <c r="A24" s="118">
        <v>35</v>
      </c>
      <c r="B24" s="10">
        <f t="shared" si="1"/>
        <v>1.1000000000000001</v>
      </c>
      <c r="C24" s="1">
        <f t="shared" si="0"/>
        <v>1.4000000000000001</v>
      </c>
      <c r="D24" s="1">
        <f t="shared" si="0"/>
        <v>1.7000000000000002</v>
      </c>
      <c r="E24" s="1">
        <f t="shared" si="0"/>
        <v>1.8</v>
      </c>
      <c r="F24" s="1">
        <f t="shared" si="0"/>
        <v>2</v>
      </c>
      <c r="G24" s="1">
        <f t="shared" si="0"/>
        <v>2.1</v>
      </c>
      <c r="H24" s="1">
        <f t="shared" si="0"/>
        <v>2.2000000000000002</v>
      </c>
      <c r="I24" s="1">
        <f t="shared" si="0"/>
        <v>2.3000000000000003</v>
      </c>
      <c r="J24" s="1">
        <f t="shared" si="0"/>
        <v>2.3000000000000003</v>
      </c>
      <c r="K24" s="1">
        <f t="shared" si="0"/>
        <v>2.4000000000000004</v>
      </c>
      <c r="L24" s="1">
        <f t="shared" si="0"/>
        <v>2.4000000000000004</v>
      </c>
      <c r="M24" s="9">
        <f t="shared" si="0"/>
        <v>2.4000000000000004</v>
      </c>
      <c r="N24" s="114">
        <f t="shared" si="2"/>
        <v>2.3000000000000003</v>
      </c>
      <c r="O24" s="115">
        <f t="shared" si="3"/>
        <v>1.1000000000000001</v>
      </c>
    </row>
    <row r="25" spans="1:15" x14ac:dyDescent="0.25">
      <c r="A25" s="118">
        <v>40</v>
      </c>
      <c r="B25" s="10">
        <f t="shared" si="1"/>
        <v>0.9</v>
      </c>
      <c r="C25" s="1">
        <f t="shared" si="0"/>
        <v>1.3</v>
      </c>
      <c r="D25" s="1">
        <f t="shared" si="0"/>
        <v>1.5</v>
      </c>
      <c r="E25" s="1">
        <f t="shared" si="0"/>
        <v>1.7000000000000002</v>
      </c>
      <c r="F25" s="1">
        <f t="shared" si="0"/>
        <v>1.9000000000000001</v>
      </c>
      <c r="G25" s="1">
        <f t="shared" si="0"/>
        <v>2</v>
      </c>
      <c r="H25" s="1">
        <f t="shared" si="0"/>
        <v>2.1</v>
      </c>
      <c r="I25" s="1">
        <f t="shared" si="0"/>
        <v>2.2000000000000002</v>
      </c>
      <c r="J25" s="1">
        <f t="shared" si="0"/>
        <v>2.3000000000000003</v>
      </c>
      <c r="K25" s="1">
        <f t="shared" si="0"/>
        <v>2.3000000000000003</v>
      </c>
      <c r="L25" s="1">
        <f t="shared" si="0"/>
        <v>2.4000000000000004</v>
      </c>
      <c r="M25" s="9">
        <f t="shared" si="0"/>
        <v>2.4000000000000004</v>
      </c>
      <c r="N25" s="114">
        <f t="shared" si="2"/>
        <v>2.2000000000000002</v>
      </c>
      <c r="O25" s="115">
        <f t="shared" si="3"/>
        <v>1</v>
      </c>
    </row>
    <row r="26" spans="1:15" x14ac:dyDescent="0.25">
      <c r="A26" s="118">
        <v>45</v>
      </c>
      <c r="B26" s="10">
        <f t="shared" si="1"/>
        <v>0.70000000000000007</v>
      </c>
      <c r="C26" s="1">
        <f t="shared" si="0"/>
        <v>1.1000000000000001</v>
      </c>
      <c r="D26" s="1">
        <f t="shared" si="0"/>
        <v>1.4000000000000001</v>
      </c>
      <c r="E26" s="1">
        <f t="shared" si="0"/>
        <v>1.6</v>
      </c>
      <c r="F26" s="1">
        <f t="shared" si="0"/>
        <v>1.8</v>
      </c>
      <c r="G26" s="1">
        <f t="shared" si="0"/>
        <v>1.9000000000000001</v>
      </c>
      <c r="H26" s="1">
        <f t="shared" si="0"/>
        <v>2</v>
      </c>
      <c r="I26" s="1">
        <f t="shared" si="0"/>
        <v>2.1</v>
      </c>
      <c r="J26" s="1">
        <f t="shared" si="0"/>
        <v>2.2000000000000002</v>
      </c>
      <c r="K26" s="1">
        <f t="shared" si="0"/>
        <v>2.2000000000000002</v>
      </c>
      <c r="L26" s="1">
        <f t="shared" si="0"/>
        <v>2.3000000000000003</v>
      </c>
      <c r="M26" s="9">
        <f t="shared" si="0"/>
        <v>2.3000000000000003</v>
      </c>
      <c r="N26" s="114">
        <f t="shared" si="2"/>
        <v>2.1</v>
      </c>
      <c r="O26" s="115">
        <f t="shared" si="3"/>
        <v>0.8</v>
      </c>
    </row>
    <row r="27" spans="1:15" x14ac:dyDescent="0.25">
      <c r="A27" s="118">
        <v>50</v>
      </c>
      <c r="B27" s="10">
        <f t="shared" si="1"/>
        <v>0.5</v>
      </c>
      <c r="C27" s="1">
        <f t="shared" si="0"/>
        <v>1</v>
      </c>
      <c r="D27" s="1">
        <f t="shared" si="0"/>
        <v>1.3</v>
      </c>
      <c r="E27" s="1">
        <f t="shared" si="0"/>
        <v>1.5</v>
      </c>
      <c r="F27" s="1">
        <f t="shared" si="0"/>
        <v>1.7000000000000002</v>
      </c>
      <c r="G27" s="1">
        <f t="shared" si="0"/>
        <v>1.8</v>
      </c>
      <c r="H27" s="1">
        <f t="shared" si="0"/>
        <v>2</v>
      </c>
      <c r="I27" s="1">
        <f t="shared" si="0"/>
        <v>2</v>
      </c>
      <c r="J27" s="1">
        <f t="shared" si="0"/>
        <v>2.1</v>
      </c>
      <c r="K27" s="1">
        <f t="shared" si="0"/>
        <v>2.2000000000000002</v>
      </c>
      <c r="L27" s="1">
        <f t="shared" si="0"/>
        <v>2.2000000000000002</v>
      </c>
      <c r="M27" s="9">
        <f t="shared" si="0"/>
        <v>2.3000000000000003</v>
      </c>
      <c r="N27" s="114">
        <f t="shared" si="2"/>
        <v>2</v>
      </c>
      <c r="O27" s="115">
        <f t="shared" si="3"/>
        <v>0.60000000000000009</v>
      </c>
    </row>
    <row r="28" spans="1:15" x14ac:dyDescent="0.25">
      <c r="A28" s="118">
        <v>55</v>
      </c>
      <c r="B28" s="10">
        <f t="shared" si="1"/>
        <v>0.4</v>
      </c>
      <c r="C28" s="1">
        <f t="shared" si="0"/>
        <v>0.8</v>
      </c>
      <c r="D28" s="1">
        <f t="shared" si="0"/>
        <v>1.2000000000000002</v>
      </c>
      <c r="E28" s="1">
        <f t="shared" si="0"/>
        <v>1.4000000000000001</v>
      </c>
      <c r="F28" s="1">
        <f t="shared" si="0"/>
        <v>1.6</v>
      </c>
      <c r="G28" s="1">
        <f t="shared" si="0"/>
        <v>1.8</v>
      </c>
      <c r="H28" s="1">
        <f t="shared" si="0"/>
        <v>1.9000000000000001</v>
      </c>
      <c r="I28" s="1">
        <f t="shared" si="0"/>
        <v>2</v>
      </c>
      <c r="J28" s="1">
        <f t="shared" si="0"/>
        <v>2.1</v>
      </c>
      <c r="K28" s="1">
        <f t="shared" si="0"/>
        <v>2.1</v>
      </c>
      <c r="L28" s="1">
        <f t="shared" si="0"/>
        <v>2.2000000000000002</v>
      </c>
      <c r="M28" s="9">
        <f t="shared" si="0"/>
        <v>2.2000000000000002</v>
      </c>
      <c r="N28" s="114">
        <f t="shared" si="2"/>
        <v>1.9000000000000001</v>
      </c>
      <c r="O28" s="115">
        <f t="shared" si="3"/>
        <v>0.4</v>
      </c>
    </row>
    <row r="29" spans="1:15" x14ac:dyDescent="0.25">
      <c r="A29" s="118">
        <v>60</v>
      </c>
      <c r="B29" s="10">
        <f t="shared" si="1"/>
        <v>0.2</v>
      </c>
      <c r="C29" s="1">
        <f t="shared" si="0"/>
        <v>0.70000000000000007</v>
      </c>
      <c r="D29" s="1">
        <f t="shared" si="0"/>
        <v>1.1000000000000001</v>
      </c>
      <c r="E29" s="1">
        <f t="shared" si="0"/>
        <v>1.3</v>
      </c>
      <c r="F29" s="1">
        <f t="shared" si="0"/>
        <v>1.5</v>
      </c>
      <c r="G29" s="1">
        <f t="shared" si="0"/>
        <v>1.7000000000000002</v>
      </c>
      <c r="H29" s="1">
        <f t="shared" si="0"/>
        <v>1.8</v>
      </c>
      <c r="I29" s="1">
        <f t="shared" si="0"/>
        <v>1.9000000000000001</v>
      </c>
      <c r="J29" s="1">
        <f t="shared" si="0"/>
        <v>2</v>
      </c>
      <c r="K29" s="1">
        <f t="shared" si="0"/>
        <v>2.1</v>
      </c>
      <c r="L29" s="1">
        <f t="shared" si="0"/>
        <v>2.1</v>
      </c>
      <c r="M29" s="9">
        <f t="shared" si="0"/>
        <v>2.2000000000000002</v>
      </c>
      <c r="N29" s="114">
        <f t="shared" si="2"/>
        <v>1.8</v>
      </c>
      <c r="O29" s="115">
        <f t="shared" si="3"/>
        <v>0.30000000000000004</v>
      </c>
    </row>
    <row r="30" spans="1:15" x14ac:dyDescent="0.25">
      <c r="A30" s="118">
        <v>65</v>
      </c>
      <c r="B30" s="10">
        <f t="shared" si="1"/>
        <v>0</v>
      </c>
      <c r="C30" s="1">
        <f t="shared" si="0"/>
        <v>0.60000000000000009</v>
      </c>
      <c r="D30" s="1">
        <f t="shared" si="0"/>
        <v>0.9</v>
      </c>
      <c r="E30" s="1">
        <f t="shared" si="0"/>
        <v>1.2000000000000002</v>
      </c>
      <c r="F30" s="1">
        <f t="shared" si="0"/>
        <v>1.4000000000000001</v>
      </c>
      <c r="G30" s="1">
        <f t="shared" si="0"/>
        <v>1.6</v>
      </c>
      <c r="H30" s="1">
        <f t="shared" si="0"/>
        <v>1.7000000000000002</v>
      </c>
      <c r="I30" s="1">
        <f t="shared" si="0"/>
        <v>1.8</v>
      </c>
      <c r="J30" s="1">
        <f t="shared" si="0"/>
        <v>1.9000000000000001</v>
      </c>
      <c r="K30" s="1">
        <f t="shared" si="0"/>
        <v>2</v>
      </c>
      <c r="L30" s="1">
        <f t="shared" si="0"/>
        <v>2.1</v>
      </c>
      <c r="M30" s="9">
        <f t="shared" si="0"/>
        <v>2.1</v>
      </c>
      <c r="N30" s="114">
        <f t="shared" si="2"/>
        <v>1.7000000000000002</v>
      </c>
      <c r="O30" s="115">
        <f t="shared" si="3"/>
        <v>0.1</v>
      </c>
    </row>
    <row r="31" spans="1:15" x14ac:dyDescent="0.25">
      <c r="A31" s="118">
        <v>70</v>
      </c>
      <c r="B31" s="8"/>
      <c r="C31" s="1">
        <f t="shared" si="0"/>
        <v>0.4</v>
      </c>
      <c r="D31" s="1">
        <f t="shared" si="0"/>
        <v>0.8</v>
      </c>
      <c r="E31" s="1">
        <f t="shared" si="0"/>
        <v>1.1000000000000001</v>
      </c>
      <c r="F31" s="1">
        <f t="shared" si="0"/>
        <v>1.3</v>
      </c>
      <c r="G31" s="1">
        <f t="shared" si="0"/>
        <v>1.5</v>
      </c>
      <c r="H31" s="1">
        <f t="shared" si="0"/>
        <v>1.7000000000000002</v>
      </c>
      <c r="I31" s="1">
        <f t="shared" si="0"/>
        <v>1.8</v>
      </c>
      <c r="J31" s="1">
        <f t="shared" si="0"/>
        <v>1.9000000000000001</v>
      </c>
      <c r="K31" s="1">
        <f t="shared" si="0"/>
        <v>2</v>
      </c>
      <c r="L31" s="1">
        <f t="shared" si="0"/>
        <v>2</v>
      </c>
      <c r="M31" s="9">
        <f t="shared" si="0"/>
        <v>2.1</v>
      </c>
      <c r="N31" s="114">
        <f t="shared" si="2"/>
        <v>1.6</v>
      </c>
      <c r="O31" s="116"/>
    </row>
    <row r="32" spans="1:15" x14ac:dyDescent="0.25">
      <c r="A32" s="118">
        <v>75</v>
      </c>
      <c r="B32" s="13"/>
      <c r="C32" s="1">
        <f t="shared" si="0"/>
        <v>0.30000000000000004</v>
      </c>
      <c r="D32" s="1">
        <f t="shared" si="0"/>
        <v>0.70000000000000007</v>
      </c>
      <c r="E32" s="1">
        <f t="shared" si="0"/>
        <v>1</v>
      </c>
      <c r="F32" s="1">
        <f t="shared" si="0"/>
        <v>1.2000000000000002</v>
      </c>
      <c r="G32" s="1">
        <f t="shared" si="0"/>
        <v>1.4000000000000001</v>
      </c>
      <c r="H32" s="1">
        <f t="shared" si="0"/>
        <v>1.6</v>
      </c>
      <c r="I32" s="1">
        <f t="shared" si="0"/>
        <v>1.7000000000000002</v>
      </c>
      <c r="J32" s="1">
        <f t="shared" si="0"/>
        <v>1.8</v>
      </c>
      <c r="K32" s="1">
        <f t="shared" si="0"/>
        <v>1.9000000000000001</v>
      </c>
      <c r="L32" s="1">
        <f t="shared" si="0"/>
        <v>2</v>
      </c>
      <c r="M32" s="9">
        <f t="shared" si="0"/>
        <v>2</v>
      </c>
      <c r="N32" s="114">
        <f t="shared" si="2"/>
        <v>1.5</v>
      </c>
      <c r="O32" s="116"/>
    </row>
    <row r="33" spans="1:15" x14ac:dyDescent="0.25">
      <c r="A33" s="118">
        <v>80</v>
      </c>
      <c r="B33" s="13"/>
      <c r="C33" s="1">
        <f t="shared" si="1"/>
        <v>0.1</v>
      </c>
      <c r="D33" s="1">
        <f t="shared" si="1"/>
        <v>0.60000000000000009</v>
      </c>
      <c r="E33" s="1">
        <f t="shared" si="1"/>
        <v>0.9</v>
      </c>
      <c r="F33" s="1">
        <f t="shared" si="1"/>
        <v>1.2000000000000002</v>
      </c>
      <c r="G33" s="1">
        <f t="shared" si="1"/>
        <v>1.4000000000000001</v>
      </c>
      <c r="H33" s="1">
        <f t="shared" si="1"/>
        <v>1.5</v>
      </c>
      <c r="I33" s="1">
        <f t="shared" si="1"/>
        <v>1.6</v>
      </c>
      <c r="J33" s="1">
        <f t="shared" si="1"/>
        <v>1.8</v>
      </c>
      <c r="K33" s="1">
        <f t="shared" si="1"/>
        <v>1.8</v>
      </c>
      <c r="L33" s="1">
        <f t="shared" si="1"/>
        <v>1.9000000000000001</v>
      </c>
      <c r="M33" s="9">
        <f t="shared" si="1"/>
        <v>2</v>
      </c>
      <c r="N33" s="114">
        <f t="shared" si="2"/>
        <v>1.4000000000000001</v>
      </c>
      <c r="O33" s="116"/>
    </row>
    <row r="34" spans="1:15" x14ac:dyDescent="0.25">
      <c r="A34" s="118">
        <v>85</v>
      </c>
      <c r="B34" s="14"/>
      <c r="C34" s="4"/>
      <c r="D34" s="1">
        <f t="shared" si="1"/>
        <v>0.5</v>
      </c>
      <c r="E34" s="1">
        <f t="shared" si="1"/>
        <v>0.8</v>
      </c>
      <c r="F34" s="1">
        <f t="shared" si="1"/>
        <v>1.1000000000000001</v>
      </c>
      <c r="G34" s="1">
        <f t="shared" si="1"/>
        <v>1.3</v>
      </c>
      <c r="H34" s="1">
        <f t="shared" si="1"/>
        <v>1.4000000000000001</v>
      </c>
      <c r="I34" s="1">
        <f t="shared" si="1"/>
        <v>1.6</v>
      </c>
      <c r="J34" s="1">
        <f t="shared" si="1"/>
        <v>1.7000000000000002</v>
      </c>
      <c r="K34" s="1">
        <f t="shared" si="1"/>
        <v>1.8</v>
      </c>
      <c r="L34" s="1">
        <f t="shared" si="1"/>
        <v>1.9000000000000001</v>
      </c>
      <c r="M34" s="9">
        <f t="shared" si="1"/>
        <v>1.9000000000000001</v>
      </c>
      <c r="N34" s="114">
        <f t="shared" si="2"/>
        <v>1.3</v>
      </c>
      <c r="O34" s="116"/>
    </row>
    <row r="35" spans="1:15" x14ac:dyDescent="0.25">
      <c r="A35" s="118">
        <v>90</v>
      </c>
      <c r="B35" s="14"/>
      <c r="C35" s="5"/>
      <c r="D35" s="1">
        <f t="shared" si="1"/>
        <v>0.30000000000000004</v>
      </c>
      <c r="E35" s="1">
        <f t="shared" si="1"/>
        <v>0.70000000000000007</v>
      </c>
      <c r="F35" s="1">
        <f t="shared" si="1"/>
        <v>1</v>
      </c>
      <c r="G35" s="1">
        <f t="shared" si="1"/>
        <v>1.2000000000000002</v>
      </c>
      <c r="H35" s="1">
        <f t="shared" si="1"/>
        <v>1.4000000000000001</v>
      </c>
      <c r="I35" s="1">
        <f t="shared" si="1"/>
        <v>1.5</v>
      </c>
      <c r="J35" s="1">
        <f t="shared" si="1"/>
        <v>1.6</v>
      </c>
      <c r="K35" s="1">
        <f t="shared" si="1"/>
        <v>1.7000000000000002</v>
      </c>
      <c r="L35" s="1">
        <f t="shared" si="1"/>
        <v>1.8</v>
      </c>
      <c r="M35" s="9">
        <f t="shared" si="1"/>
        <v>1.9000000000000001</v>
      </c>
      <c r="N35" s="114">
        <f t="shared" si="2"/>
        <v>1.2000000000000002</v>
      </c>
      <c r="O35" s="116"/>
    </row>
    <row r="36" spans="1:15" x14ac:dyDescent="0.25">
      <c r="A36" s="118">
        <v>95</v>
      </c>
      <c r="B36" s="14"/>
      <c r="C36" s="5"/>
      <c r="D36" s="1">
        <f t="shared" si="1"/>
        <v>0.2</v>
      </c>
      <c r="E36" s="1">
        <f t="shared" si="1"/>
        <v>0.60000000000000009</v>
      </c>
      <c r="F36" s="1">
        <f t="shared" si="1"/>
        <v>0.9</v>
      </c>
      <c r="G36" s="1">
        <f t="shared" si="1"/>
        <v>1.1000000000000001</v>
      </c>
      <c r="H36" s="1">
        <f t="shared" si="1"/>
        <v>1.3</v>
      </c>
      <c r="I36" s="1">
        <f t="shared" si="1"/>
        <v>1.4000000000000001</v>
      </c>
      <c r="J36" s="1">
        <f t="shared" si="1"/>
        <v>1.6</v>
      </c>
      <c r="K36" s="1">
        <f t="shared" si="1"/>
        <v>1.7000000000000002</v>
      </c>
      <c r="L36" s="1">
        <f t="shared" si="1"/>
        <v>1.8</v>
      </c>
      <c r="M36" s="9">
        <f t="shared" si="1"/>
        <v>1.8</v>
      </c>
      <c r="N36" s="114">
        <f t="shared" si="2"/>
        <v>1.1000000000000001</v>
      </c>
      <c r="O36" s="116"/>
    </row>
    <row r="37" spans="1:15" x14ac:dyDescent="0.25">
      <c r="A37" s="118">
        <v>100</v>
      </c>
      <c r="B37" s="14"/>
      <c r="C37" s="5"/>
      <c r="D37" s="1">
        <f t="shared" si="1"/>
        <v>0.1</v>
      </c>
      <c r="E37" s="1">
        <f t="shared" si="1"/>
        <v>0.5</v>
      </c>
      <c r="F37" s="1">
        <f t="shared" si="1"/>
        <v>0.8</v>
      </c>
      <c r="G37" s="1">
        <f t="shared" si="1"/>
        <v>1</v>
      </c>
      <c r="H37" s="1">
        <f t="shared" si="1"/>
        <v>1.2000000000000002</v>
      </c>
      <c r="I37" s="1">
        <f t="shared" si="1"/>
        <v>1.4000000000000001</v>
      </c>
      <c r="J37" s="1">
        <f t="shared" si="1"/>
        <v>1.5</v>
      </c>
      <c r="K37" s="1">
        <f t="shared" si="1"/>
        <v>1.6</v>
      </c>
      <c r="L37" s="1">
        <f t="shared" si="1"/>
        <v>1.7000000000000002</v>
      </c>
      <c r="M37" s="9">
        <f t="shared" si="1"/>
        <v>1.8</v>
      </c>
      <c r="N37" s="114">
        <f t="shared" si="2"/>
        <v>1.1000000000000001</v>
      </c>
      <c r="O37" s="116"/>
    </row>
    <row r="38" spans="1:15" x14ac:dyDescent="0.25">
      <c r="A38" s="118">
        <v>105</v>
      </c>
      <c r="B38" s="14"/>
      <c r="C38" s="3"/>
      <c r="D38" s="4"/>
      <c r="E38" s="1">
        <f t="shared" si="1"/>
        <v>0.4</v>
      </c>
      <c r="F38" s="1">
        <f t="shared" si="1"/>
        <v>0.70000000000000007</v>
      </c>
      <c r="G38" s="1">
        <f t="shared" si="1"/>
        <v>0.9</v>
      </c>
      <c r="H38" s="1">
        <f t="shared" si="1"/>
        <v>1.1000000000000001</v>
      </c>
      <c r="I38" s="1">
        <f t="shared" si="1"/>
        <v>1.3</v>
      </c>
      <c r="J38" s="1">
        <f t="shared" si="1"/>
        <v>1.4000000000000001</v>
      </c>
      <c r="K38" s="1">
        <f t="shared" si="1"/>
        <v>1.6</v>
      </c>
      <c r="L38" s="1">
        <f t="shared" si="1"/>
        <v>1.7000000000000002</v>
      </c>
      <c r="M38" s="9">
        <f t="shared" si="1"/>
        <v>1.7000000000000002</v>
      </c>
      <c r="N38" s="114">
        <f t="shared" si="2"/>
        <v>1</v>
      </c>
      <c r="O38" s="116"/>
    </row>
    <row r="39" spans="1:15" x14ac:dyDescent="0.25">
      <c r="A39" s="118">
        <v>110</v>
      </c>
      <c r="B39" s="14"/>
      <c r="C39" s="3"/>
      <c r="D39" s="5"/>
      <c r="E39" s="1">
        <f t="shared" si="1"/>
        <v>0.30000000000000004</v>
      </c>
      <c r="F39" s="1">
        <f t="shared" si="1"/>
        <v>0.60000000000000009</v>
      </c>
      <c r="G39" s="1">
        <f t="shared" si="1"/>
        <v>0.9</v>
      </c>
      <c r="H39" s="1">
        <f t="shared" si="1"/>
        <v>1.1000000000000001</v>
      </c>
      <c r="I39" s="1">
        <f t="shared" si="1"/>
        <v>1.2000000000000002</v>
      </c>
      <c r="J39" s="1">
        <f t="shared" si="1"/>
        <v>1.4000000000000001</v>
      </c>
      <c r="K39" s="1">
        <f t="shared" si="1"/>
        <v>1.5</v>
      </c>
      <c r="L39" s="1">
        <f t="shared" si="1"/>
        <v>1.6</v>
      </c>
      <c r="M39" s="9">
        <f t="shared" si="1"/>
        <v>1.7000000000000002</v>
      </c>
      <c r="N39" s="114">
        <f t="shared" si="2"/>
        <v>0.9</v>
      </c>
      <c r="O39" s="116"/>
    </row>
    <row r="40" spans="1:15" x14ac:dyDescent="0.25">
      <c r="A40" s="118">
        <v>115</v>
      </c>
      <c r="B40" s="14"/>
      <c r="C40" s="3"/>
      <c r="D40" s="5"/>
      <c r="E40" s="1">
        <f t="shared" si="1"/>
        <v>0.2</v>
      </c>
      <c r="F40" s="1">
        <f t="shared" si="1"/>
        <v>0.5</v>
      </c>
      <c r="G40" s="1">
        <f t="shared" si="1"/>
        <v>0.8</v>
      </c>
      <c r="H40" s="1">
        <f t="shared" si="1"/>
        <v>1</v>
      </c>
      <c r="I40" s="1">
        <f t="shared" si="1"/>
        <v>1.2000000000000002</v>
      </c>
      <c r="J40" s="1">
        <f t="shared" si="1"/>
        <v>1.3</v>
      </c>
      <c r="K40" s="1">
        <f t="shared" si="1"/>
        <v>1.4000000000000001</v>
      </c>
      <c r="L40" s="1">
        <f t="shared" si="1"/>
        <v>1.5</v>
      </c>
      <c r="M40" s="9">
        <f t="shared" si="1"/>
        <v>1.6</v>
      </c>
      <c r="N40" s="114">
        <f t="shared" si="2"/>
        <v>0.8</v>
      </c>
      <c r="O40" s="116"/>
    </row>
    <row r="41" spans="1:15" x14ac:dyDescent="0.25">
      <c r="A41" s="118">
        <v>120</v>
      </c>
      <c r="B41" s="14"/>
      <c r="C41" s="3"/>
      <c r="D41" s="5"/>
      <c r="E41" s="1">
        <f t="shared" si="1"/>
        <v>0.1</v>
      </c>
      <c r="F41" s="1">
        <f t="shared" si="1"/>
        <v>0.4</v>
      </c>
      <c r="G41" s="1">
        <f t="shared" si="1"/>
        <v>0.70000000000000007</v>
      </c>
      <c r="H41" s="1">
        <f t="shared" si="1"/>
        <v>0.9</v>
      </c>
      <c r="I41" s="1">
        <f t="shared" si="1"/>
        <v>1.1000000000000001</v>
      </c>
      <c r="J41" s="1">
        <f t="shared" si="1"/>
        <v>1.3</v>
      </c>
      <c r="K41" s="1">
        <f t="shared" si="1"/>
        <v>1.4000000000000001</v>
      </c>
      <c r="L41" s="1">
        <f t="shared" si="1"/>
        <v>1.5</v>
      </c>
      <c r="M41" s="9">
        <f t="shared" si="1"/>
        <v>1.6</v>
      </c>
      <c r="N41" s="114">
        <f t="shared" si="2"/>
        <v>0.70000000000000007</v>
      </c>
      <c r="O41" s="116"/>
    </row>
    <row r="42" spans="1:15" x14ac:dyDescent="0.25">
      <c r="A42" s="118">
        <v>125</v>
      </c>
      <c r="B42" s="14"/>
      <c r="C42" s="3"/>
      <c r="D42" s="3"/>
      <c r="E42" s="4"/>
      <c r="F42" s="1">
        <f t="shared" si="1"/>
        <v>0.30000000000000004</v>
      </c>
      <c r="G42" s="1">
        <f t="shared" si="1"/>
        <v>0.60000000000000009</v>
      </c>
      <c r="H42" s="1">
        <f t="shared" si="1"/>
        <v>0.8</v>
      </c>
      <c r="I42" s="1">
        <f t="shared" si="1"/>
        <v>1</v>
      </c>
      <c r="J42" s="1">
        <f t="shared" si="1"/>
        <v>1.2000000000000002</v>
      </c>
      <c r="K42" s="1">
        <f t="shared" si="1"/>
        <v>1.3</v>
      </c>
      <c r="L42" s="1">
        <f t="shared" si="1"/>
        <v>1.4000000000000001</v>
      </c>
      <c r="M42" s="9">
        <f t="shared" si="1"/>
        <v>1.5</v>
      </c>
      <c r="N42" s="114">
        <f t="shared" si="2"/>
        <v>0.60000000000000009</v>
      </c>
      <c r="O42" s="116"/>
    </row>
    <row r="43" spans="1:15" x14ac:dyDescent="0.25">
      <c r="A43" s="118">
        <v>130</v>
      </c>
      <c r="B43" s="14"/>
      <c r="C43" s="3"/>
      <c r="D43" s="3"/>
      <c r="E43" s="5"/>
      <c r="F43" s="1">
        <f t="shared" si="1"/>
        <v>0.2</v>
      </c>
      <c r="G43" s="1">
        <f t="shared" si="1"/>
        <v>0.5</v>
      </c>
      <c r="H43" s="1">
        <f t="shared" si="1"/>
        <v>0.8</v>
      </c>
      <c r="I43" s="1">
        <f t="shared" si="1"/>
        <v>1</v>
      </c>
      <c r="J43" s="1">
        <f t="shared" si="1"/>
        <v>1.1000000000000001</v>
      </c>
      <c r="K43" s="1">
        <f t="shared" si="1"/>
        <v>1.3</v>
      </c>
      <c r="L43" s="1">
        <f t="shared" si="1"/>
        <v>1.4000000000000001</v>
      </c>
      <c r="M43" s="9">
        <f t="shared" si="1"/>
        <v>1.5</v>
      </c>
      <c r="N43" s="114">
        <f t="shared" si="2"/>
        <v>0.5</v>
      </c>
      <c r="O43" s="116"/>
    </row>
    <row r="44" spans="1:15" x14ac:dyDescent="0.25">
      <c r="A44" s="118">
        <v>135</v>
      </c>
      <c r="B44" s="11"/>
      <c r="C44" s="3"/>
      <c r="D44" s="3"/>
      <c r="E44" s="5"/>
      <c r="F44" s="1">
        <f t="shared" si="1"/>
        <v>0.1</v>
      </c>
      <c r="G44" s="1">
        <f t="shared" si="1"/>
        <v>0.4</v>
      </c>
      <c r="H44" s="1">
        <f t="shared" si="1"/>
        <v>0.70000000000000007</v>
      </c>
      <c r="I44" s="1">
        <f t="shared" si="1"/>
        <v>0.9</v>
      </c>
      <c r="J44" s="1">
        <f t="shared" si="1"/>
        <v>1.1000000000000001</v>
      </c>
      <c r="K44" s="1">
        <f t="shared" si="1"/>
        <v>1.2000000000000002</v>
      </c>
      <c r="L44" s="1">
        <f t="shared" si="1"/>
        <v>1.3</v>
      </c>
      <c r="M44" s="9">
        <f t="shared" si="1"/>
        <v>1.4000000000000001</v>
      </c>
      <c r="N44" s="114">
        <f t="shared" si="2"/>
        <v>0.4</v>
      </c>
      <c r="O44" s="116"/>
    </row>
    <row r="45" spans="1:15" x14ac:dyDescent="0.25">
      <c r="A45" s="118">
        <v>140</v>
      </c>
      <c r="B45" s="12"/>
      <c r="C45" s="6"/>
      <c r="D45" s="6"/>
      <c r="E45" s="7"/>
      <c r="F45" s="1">
        <f t="shared" si="1"/>
        <v>0</v>
      </c>
      <c r="G45" s="1">
        <f t="shared" si="1"/>
        <v>0.4</v>
      </c>
      <c r="H45" s="1">
        <f t="shared" si="1"/>
        <v>0.60000000000000009</v>
      </c>
      <c r="I45" s="1">
        <f t="shared" si="1"/>
        <v>0.8</v>
      </c>
      <c r="J45" s="1">
        <f t="shared" si="1"/>
        <v>1</v>
      </c>
      <c r="K45" s="1">
        <f t="shared" si="1"/>
        <v>1.1000000000000001</v>
      </c>
      <c r="L45" s="1">
        <f t="shared" si="1"/>
        <v>1.3</v>
      </c>
      <c r="M45" s="9">
        <f t="shared" si="1"/>
        <v>1.4000000000000001</v>
      </c>
      <c r="N45" s="114">
        <f t="shared" si="2"/>
        <v>0.30000000000000004</v>
      </c>
      <c r="O45" s="116"/>
    </row>
    <row r="46" spans="1:15" s="125" customFormat="1" x14ac:dyDescent="0.25">
      <c r="A46" s="118">
        <v>145</v>
      </c>
      <c r="B46" s="12"/>
      <c r="C46" s="6"/>
      <c r="D46" s="6"/>
      <c r="E46" s="6"/>
      <c r="F46" s="127"/>
      <c r="G46" s="1">
        <f t="shared" si="1"/>
        <v>0.30000000000000004</v>
      </c>
      <c r="H46" s="1">
        <f t="shared" si="1"/>
        <v>0.5</v>
      </c>
      <c r="I46" s="1">
        <f t="shared" si="1"/>
        <v>0.8</v>
      </c>
      <c r="J46" s="1">
        <f t="shared" si="1"/>
        <v>0.9</v>
      </c>
      <c r="K46" s="1">
        <f t="shared" si="1"/>
        <v>1.1000000000000001</v>
      </c>
      <c r="L46" s="1">
        <f t="shared" si="1"/>
        <v>1.2000000000000002</v>
      </c>
      <c r="M46" s="9">
        <f t="shared" si="1"/>
        <v>1.3</v>
      </c>
      <c r="N46" s="115">
        <f t="shared" si="2"/>
        <v>0.2</v>
      </c>
      <c r="O46" s="116"/>
    </row>
    <row r="47" spans="1:15" s="125" customFormat="1" x14ac:dyDescent="0.25">
      <c r="A47" s="118">
        <v>150</v>
      </c>
      <c r="B47" s="12"/>
      <c r="C47" s="6"/>
      <c r="D47" s="6"/>
      <c r="E47" s="6"/>
      <c r="F47" s="127"/>
      <c r="G47" s="1">
        <f t="shared" ref="G47:M48" si="4">MROUND(3-((20+$A47)/((22/15)*(0.88*(G$16+7)))),0.1)</f>
        <v>0.2</v>
      </c>
      <c r="H47" s="1">
        <f t="shared" si="4"/>
        <v>0.5</v>
      </c>
      <c r="I47" s="1">
        <f t="shared" si="4"/>
        <v>0.70000000000000007</v>
      </c>
      <c r="J47" s="1">
        <f t="shared" si="4"/>
        <v>0.9</v>
      </c>
      <c r="K47" s="1">
        <f t="shared" si="4"/>
        <v>1</v>
      </c>
      <c r="L47" s="1">
        <f t="shared" si="4"/>
        <v>1.2000000000000002</v>
      </c>
      <c r="M47" s="9">
        <f t="shared" si="4"/>
        <v>1.3</v>
      </c>
      <c r="N47" s="129">
        <f t="shared" si="2"/>
        <v>0.1</v>
      </c>
      <c r="O47" s="117"/>
    </row>
    <row r="48" spans="1:15" s="125" customFormat="1" x14ac:dyDescent="0.25">
      <c r="A48" s="118">
        <v>155</v>
      </c>
      <c r="B48" s="12"/>
      <c r="C48" s="6"/>
      <c r="D48" s="6"/>
      <c r="E48" s="6"/>
      <c r="F48" s="128"/>
      <c r="G48" s="1">
        <f t="shared" si="4"/>
        <v>0.1</v>
      </c>
      <c r="H48" s="1">
        <f t="shared" si="4"/>
        <v>0.4</v>
      </c>
      <c r="I48" s="1">
        <f t="shared" si="4"/>
        <v>0.60000000000000009</v>
      </c>
      <c r="J48" s="1">
        <f t="shared" si="4"/>
        <v>0.8</v>
      </c>
      <c r="K48" s="1">
        <f t="shared" si="4"/>
        <v>1</v>
      </c>
      <c r="L48" s="1">
        <f t="shared" si="4"/>
        <v>1.1000000000000001</v>
      </c>
      <c r="M48" s="9">
        <f t="shared" si="4"/>
        <v>1.2000000000000002</v>
      </c>
      <c r="N48" s="131"/>
      <c r="O48" s="130"/>
    </row>
    <row r="49" spans="1:15" ht="15" customHeight="1" x14ac:dyDescent="0.25">
      <c r="A49" s="321" t="s">
        <v>32</v>
      </c>
      <c r="B49" s="322"/>
      <c r="C49" s="322"/>
      <c r="D49" s="322"/>
      <c r="E49" s="322"/>
      <c r="F49" s="322"/>
      <c r="G49" s="322"/>
      <c r="H49" s="322"/>
      <c r="I49" s="322"/>
      <c r="J49" s="322"/>
      <c r="K49" s="322"/>
      <c r="L49" s="322"/>
      <c r="M49" s="322"/>
      <c r="N49" s="322"/>
      <c r="O49" s="323"/>
    </row>
    <row r="50" spans="1:15" x14ac:dyDescent="0.25">
      <c r="A50" s="324"/>
      <c r="B50" s="325"/>
      <c r="C50" s="325"/>
      <c r="D50" s="325"/>
      <c r="E50" s="325"/>
      <c r="F50" s="325"/>
      <c r="G50" s="325"/>
      <c r="H50" s="325"/>
      <c r="I50" s="325"/>
      <c r="J50" s="325"/>
      <c r="K50" s="325"/>
      <c r="L50" s="325"/>
      <c r="M50" s="325"/>
      <c r="N50" s="325"/>
      <c r="O50" s="326"/>
    </row>
  </sheetData>
  <sheetProtection sheet="1" objects="1" scenarios="1"/>
  <mergeCells count="17">
    <mergeCell ref="O13:O16"/>
    <mergeCell ref="A49:O50"/>
    <mergeCell ref="A1:O1"/>
    <mergeCell ref="A2:O2"/>
    <mergeCell ref="A3:O3"/>
    <mergeCell ref="A4:N4"/>
    <mergeCell ref="N13:N16"/>
    <mergeCell ref="B13:M14"/>
    <mergeCell ref="A13:A16"/>
    <mergeCell ref="B5:N5"/>
    <mergeCell ref="B10:M10"/>
    <mergeCell ref="C8:N8"/>
    <mergeCell ref="B15:M15"/>
    <mergeCell ref="B9:M9"/>
    <mergeCell ref="B6:N6"/>
    <mergeCell ref="C7:N7"/>
    <mergeCell ref="A11:N11"/>
  </mergeCells>
  <pageMargins left="0.5" right="0.5" top="0.5" bottom="0.5" header="0.3" footer="0.3"/>
  <pageSetup scale="8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51"/>
  <sheetViews>
    <sheetView showGridLines="0" zoomScaleNormal="100" workbookViewId="0">
      <selection sqref="A1:H1"/>
    </sheetView>
  </sheetViews>
  <sheetFormatPr defaultRowHeight="15" x14ac:dyDescent="0.25"/>
  <cols>
    <col min="1" max="1" width="13.5703125" style="85" bestFit="1" customWidth="1"/>
    <col min="2" max="2" width="9.28515625" style="85" bestFit="1" customWidth="1"/>
    <col min="3" max="3" width="3.5703125" style="85" bestFit="1" customWidth="1"/>
    <col min="4" max="4" width="14.42578125" style="85" bestFit="1" customWidth="1"/>
    <col min="5" max="6" width="11.140625" style="85" customWidth="1"/>
    <col min="7" max="7" width="9.140625" style="85"/>
    <col min="8" max="8" width="27.5703125" style="85" customWidth="1"/>
    <col min="9" max="16384" width="9.140625" style="85"/>
  </cols>
  <sheetData>
    <row r="1" spans="1:8" x14ac:dyDescent="0.25">
      <c r="A1" s="269" t="s">
        <v>87</v>
      </c>
      <c r="B1" s="269"/>
      <c r="C1" s="269"/>
      <c r="D1" s="269"/>
      <c r="E1" s="269"/>
      <c r="F1" s="269"/>
      <c r="G1" s="269"/>
      <c r="H1" s="269"/>
    </row>
    <row r="2" spans="1:8" x14ac:dyDescent="0.25">
      <c r="A2" s="317" t="s">
        <v>60</v>
      </c>
      <c r="B2" s="317"/>
      <c r="C2" s="317"/>
      <c r="D2" s="317"/>
      <c r="E2" s="317"/>
      <c r="F2" s="317"/>
      <c r="G2" s="317"/>
      <c r="H2" s="317"/>
    </row>
    <row r="3" spans="1:8" x14ac:dyDescent="0.25">
      <c r="A3" s="318" t="str">
        <f>'Interactive Form'!A2:AK2</f>
        <v>Form Revision: 4/9/2019 by MDL</v>
      </c>
      <c r="B3" s="318"/>
      <c r="C3" s="318"/>
      <c r="D3" s="318"/>
      <c r="E3" s="318"/>
      <c r="F3" s="318"/>
      <c r="G3" s="318"/>
      <c r="H3" s="318"/>
    </row>
    <row r="4" spans="1:8" x14ac:dyDescent="0.25">
      <c r="A4" s="327" t="s">
        <v>30</v>
      </c>
      <c r="B4" s="327"/>
      <c r="C4" s="328"/>
      <c r="D4" s="328"/>
      <c r="E4" s="328"/>
      <c r="F4" s="328"/>
      <c r="G4" s="328"/>
    </row>
    <row r="5" spans="1:8" x14ac:dyDescent="0.25">
      <c r="C5" s="347" t="s">
        <v>67</v>
      </c>
      <c r="D5" s="347"/>
      <c r="E5" s="347"/>
      <c r="F5" s="347"/>
      <c r="G5" s="347"/>
      <c r="H5" s="347"/>
    </row>
    <row r="6" spans="1:8" x14ac:dyDescent="0.25">
      <c r="C6" s="347" t="s">
        <v>68</v>
      </c>
      <c r="D6" s="347"/>
      <c r="E6" s="347"/>
      <c r="F6" s="347"/>
      <c r="G6" s="347"/>
      <c r="H6" s="347"/>
    </row>
    <row r="7" spans="1:8" x14ac:dyDescent="0.25">
      <c r="C7" s="342" t="s">
        <v>69</v>
      </c>
      <c r="D7" s="342"/>
      <c r="E7" s="342"/>
      <c r="F7" s="342"/>
      <c r="G7" s="342"/>
      <c r="H7" s="342"/>
    </row>
    <row r="8" spans="1:8" x14ac:dyDescent="0.25">
      <c r="A8" s="348" t="s">
        <v>59</v>
      </c>
      <c r="B8" s="348"/>
      <c r="C8" s="348"/>
      <c r="D8" s="348"/>
      <c r="E8" s="348"/>
      <c r="F8" s="348"/>
      <c r="G8" s="348"/>
      <c r="H8" s="348"/>
    </row>
    <row r="10" spans="1:8" x14ac:dyDescent="0.25">
      <c r="A10" s="359" t="s">
        <v>80</v>
      </c>
      <c r="B10" s="360"/>
      <c r="C10" s="364" t="s">
        <v>75</v>
      </c>
      <c r="D10" s="365"/>
      <c r="E10" s="364" t="s">
        <v>76</v>
      </c>
      <c r="F10" s="365"/>
      <c r="G10" s="364" t="s">
        <v>62</v>
      </c>
      <c r="H10" s="368"/>
    </row>
    <row r="11" spans="1:8" ht="15" customHeight="1" x14ac:dyDescent="0.25">
      <c r="A11" s="36" t="s">
        <v>81</v>
      </c>
      <c r="B11" s="84" t="s">
        <v>82</v>
      </c>
      <c r="C11" s="366"/>
      <c r="D11" s="367"/>
      <c r="E11" s="366"/>
      <c r="F11" s="367"/>
      <c r="G11" s="366"/>
      <c r="H11" s="369"/>
    </row>
    <row r="12" spans="1:8" x14ac:dyDescent="0.25">
      <c r="A12" s="25">
        <v>25</v>
      </c>
      <c r="B12" s="24">
        <f>A12+7</f>
        <v>32</v>
      </c>
      <c r="C12" s="35">
        <f>MROUND((0.04*(A12-14))+0.94,0.1)</f>
        <v>1.4000000000000001</v>
      </c>
      <c r="D12" s="27" t="s">
        <v>61</v>
      </c>
      <c r="E12" s="362">
        <f>MROUND((0.0464*(A12+7))+2.9214,0.1)</f>
        <v>4.4000000000000004</v>
      </c>
      <c r="F12" s="363"/>
      <c r="G12" s="28">
        <f t="shared" ref="G12:G22" si="0">MROUND((600*3600)/((A12+7)*5280),0.1)</f>
        <v>12.8</v>
      </c>
      <c r="H12" s="2"/>
    </row>
    <row r="13" spans="1:8" x14ac:dyDescent="0.25">
      <c r="A13" s="25">
        <v>30</v>
      </c>
      <c r="B13" s="24">
        <f t="shared" ref="B13:B22" si="1">A13+7</f>
        <v>37</v>
      </c>
      <c r="C13" s="35">
        <f t="shared" ref="C13:C22" si="2">MROUND((0.04*(A13-14))+0.94,0.1)</f>
        <v>1.6</v>
      </c>
      <c r="D13" s="27" t="s">
        <v>61</v>
      </c>
      <c r="E13" s="362">
        <f t="shared" ref="E13:E22" si="3">MROUND((0.0464*(A13+7))+2.9214,0.1)</f>
        <v>4.6000000000000005</v>
      </c>
      <c r="F13" s="363"/>
      <c r="G13" s="28">
        <f t="shared" si="0"/>
        <v>11.100000000000001</v>
      </c>
      <c r="H13" s="2"/>
    </row>
    <row r="14" spans="1:8" x14ac:dyDescent="0.25">
      <c r="A14" s="25">
        <v>35</v>
      </c>
      <c r="B14" s="24">
        <f t="shared" si="1"/>
        <v>42</v>
      </c>
      <c r="C14" s="35">
        <f t="shared" si="2"/>
        <v>1.8</v>
      </c>
      <c r="D14" s="27" t="s">
        <v>61</v>
      </c>
      <c r="E14" s="362">
        <f t="shared" si="3"/>
        <v>4.9000000000000004</v>
      </c>
      <c r="F14" s="363"/>
      <c r="G14" s="28">
        <f t="shared" si="0"/>
        <v>9.7000000000000011</v>
      </c>
      <c r="H14" s="2"/>
    </row>
    <row r="15" spans="1:8" x14ac:dyDescent="0.25">
      <c r="A15" s="25">
        <v>40</v>
      </c>
      <c r="B15" s="24">
        <f t="shared" si="1"/>
        <v>47</v>
      </c>
      <c r="C15" s="35">
        <f t="shared" si="2"/>
        <v>2</v>
      </c>
      <c r="D15" s="27" t="s">
        <v>61</v>
      </c>
      <c r="E15" s="362">
        <f t="shared" si="3"/>
        <v>5.1000000000000005</v>
      </c>
      <c r="F15" s="363"/>
      <c r="G15" s="28">
        <f t="shared" si="0"/>
        <v>8.7000000000000011</v>
      </c>
      <c r="H15" s="2"/>
    </row>
    <row r="16" spans="1:8" x14ac:dyDescent="0.25">
      <c r="A16" s="25">
        <v>45</v>
      </c>
      <c r="B16" s="24">
        <f t="shared" si="1"/>
        <v>52</v>
      </c>
      <c r="C16" s="35">
        <f t="shared" si="2"/>
        <v>2.2000000000000002</v>
      </c>
      <c r="D16" s="27" t="s">
        <v>61</v>
      </c>
      <c r="E16" s="362">
        <f t="shared" si="3"/>
        <v>5.3000000000000007</v>
      </c>
      <c r="F16" s="363"/>
      <c r="G16" s="28">
        <f t="shared" si="0"/>
        <v>7.9</v>
      </c>
      <c r="H16" s="2"/>
    </row>
    <row r="17" spans="1:8" x14ac:dyDescent="0.25">
      <c r="A17" s="25">
        <v>50</v>
      </c>
      <c r="B17" s="24">
        <f t="shared" si="1"/>
        <v>57</v>
      </c>
      <c r="C17" s="35">
        <f t="shared" si="2"/>
        <v>2.4000000000000004</v>
      </c>
      <c r="D17" s="27" t="s">
        <v>61</v>
      </c>
      <c r="E17" s="362">
        <f t="shared" si="3"/>
        <v>5.6000000000000005</v>
      </c>
      <c r="F17" s="363"/>
      <c r="G17" s="28">
        <f t="shared" si="0"/>
        <v>7.2</v>
      </c>
      <c r="H17" s="2"/>
    </row>
    <row r="18" spans="1:8" ht="15" customHeight="1" x14ac:dyDescent="0.25">
      <c r="A18" s="25">
        <v>55</v>
      </c>
      <c r="B18" s="24">
        <f t="shared" si="1"/>
        <v>62</v>
      </c>
      <c r="C18" s="35">
        <f t="shared" si="2"/>
        <v>2.6</v>
      </c>
      <c r="D18" s="27" t="s">
        <v>61</v>
      </c>
      <c r="E18" s="362">
        <f t="shared" si="3"/>
        <v>5.8000000000000007</v>
      </c>
      <c r="F18" s="363"/>
      <c r="G18" s="165">
        <f t="shared" si="0"/>
        <v>6.6000000000000005</v>
      </c>
      <c r="H18" s="166"/>
    </row>
    <row r="19" spans="1:8" x14ac:dyDescent="0.25">
      <c r="A19" s="25">
        <v>60</v>
      </c>
      <c r="B19" s="24">
        <f t="shared" si="1"/>
        <v>67</v>
      </c>
      <c r="C19" s="35">
        <f t="shared" si="2"/>
        <v>2.8000000000000003</v>
      </c>
      <c r="D19" s="27" t="s">
        <v>61</v>
      </c>
      <c r="E19" s="362">
        <f t="shared" si="3"/>
        <v>6</v>
      </c>
      <c r="F19" s="363"/>
      <c r="G19" s="167">
        <f t="shared" si="0"/>
        <v>6.1000000000000005</v>
      </c>
      <c r="H19" s="352" t="s">
        <v>238</v>
      </c>
    </row>
    <row r="20" spans="1:8" ht="15" customHeight="1" x14ac:dyDescent="0.25">
      <c r="A20" s="25">
        <v>65</v>
      </c>
      <c r="B20" s="24">
        <f t="shared" si="1"/>
        <v>72</v>
      </c>
      <c r="C20" s="35">
        <f t="shared" si="2"/>
        <v>3</v>
      </c>
      <c r="D20" s="27" t="s">
        <v>61</v>
      </c>
      <c r="E20" s="362">
        <f t="shared" si="3"/>
        <v>6.3000000000000007</v>
      </c>
      <c r="F20" s="363"/>
      <c r="G20" s="29">
        <f t="shared" si="0"/>
        <v>5.7</v>
      </c>
      <c r="H20" s="353"/>
    </row>
    <row r="21" spans="1:8" x14ac:dyDescent="0.25">
      <c r="A21" s="25">
        <v>70</v>
      </c>
      <c r="B21" s="24">
        <f t="shared" si="1"/>
        <v>77</v>
      </c>
      <c r="C21" s="35">
        <f t="shared" si="2"/>
        <v>3.2</v>
      </c>
      <c r="D21" s="27" t="s">
        <v>61</v>
      </c>
      <c r="E21" s="362">
        <f t="shared" si="3"/>
        <v>6.5</v>
      </c>
      <c r="F21" s="363"/>
      <c r="G21" s="29">
        <f t="shared" si="0"/>
        <v>5.3000000000000007</v>
      </c>
      <c r="H21" s="353"/>
    </row>
    <row r="22" spans="1:8" ht="15.75" thickBot="1" x14ac:dyDescent="0.3">
      <c r="A22" s="25">
        <v>75</v>
      </c>
      <c r="B22" s="24">
        <f t="shared" si="1"/>
        <v>82</v>
      </c>
      <c r="C22" s="35">
        <f t="shared" si="2"/>
        <v>3.4000000000000004</v>
      </c>
      <c r="D22" s="27" t="s">
        <v>61</v>
      </c>
      <c r="E22" s="362">
        <f t="shared" si="3"/>
        <v>6.7</v>
      </c>
      <c r="F22" s="363"/>
      <c r="G22" s="31">
        <f t="shared" si="0"/>
        <v>5</v>
      </c>
      <c r="H22" s="354"/>
    </row>
    <row r="23" spans="1:8" ht="15.75" thickTop="1" x14ac:dyDescent="0.25">
      <c r="C23" s="355" t="s">
        <v>64</v>
      </c>
      <c r="D23" s="356"/>
      <c r="E23" s="357"/>
      <c r="F23" s="357"/>
      <c r="G23" s="357"/>
      <c r="H23" s="358"/>
    </row>
    <row r="29" spans="1:8" x14ac:dyDescent="0.25">
      <c r="A29" s="361"/>
      <c r="B29" s="361"/>
      <c r="C29" s="361"/>
      <c r="D29" s="361"/>
      <c r="E29" s="361"/>
      <c r="F29" s="361"/>
      <c r="G29" s="361"/>
      <c r="H29" s="361"/>
    </row>
    <row r="30" spans="1:8" s="18" customFormat="1" ht="12.75" x14ac:dyDescent="0.2">
      <c r="A30" s="317" t="s">
        <v>63</v>
      </c>
      <c r="B30" s="317"/>
      <c r="C30" s="317"/>
      <c r="D30" s="317"/>
      <c r="E30" s="317"/>
      <c r="F30" s="317"/>
      <c r="G30" s="317"/>
      <c r="H30" s="317"/>
    </row>
    <row r="31" spans="1:8" x14ac:dyDescent="0.25">
      <c r="A31" s="318" t="str">
        <f>'Interactive Form'!A2:AK2</f>
        <v>Form Revision: 4/9/2019 by MDL</v>
      </c>
      <c r="B31" s="318"/>
      <c r="C31" s="318"/>
      <c r="D31" s="318"/>
      <c r="E31" s="318"/>
      <c r="F31" s="318"/>
      <c r="G31" s="318"/>
      <c r="H31" s="318"/>
    </row>
    <row r="32" spans="1:8" x14ac:dyDescent="0.25">
      <c r="A32" s="327" t="s">
        <v>30</v>
      </c>
      <c r="B32" s="327"/>
      <c r="C32" s="328"/>
      <c r="D32" s="328"/>
      <c r="E32" s="328"/>
      <c r="F32" s="328"/>
      <c r="G32" s="328"/>
      <c r="H32" s="328"/>
    </row>
    <row r="33" spans="1:8" x14ac:dyDescent="0.25">
      <c r="C33" s="347" t="s">
        <v>67</v>
      </c>
      <c r="D33" s="347"/>
      <c r="E33" s="347"/>
      <c r="F33" s="347"/>
      <c r="G33" s="347"/>
      <c r="H33" s="347"/>
    </row>
    <row r="34" spans="1:8" x14ac:dyDescent="0.25">
      <c r="C34" s="347" t="s">
        <v>68</v>
      </c>
      <c r="D34" s="347"/>
      <c r="E34" s="347"/>
      <c r="F34" s="347"/>
      <c r="G34" s="347"/>
      <c r="H34" s="347"/>
    </row>
    <row r="35" spans="1:8" x14ac:dyDescent="0.25">
      <c r="C35" s="342" t="s">
        <v>70</v>
      </c>
      <c r="D35" s="342"/>
      <c r="E35" s="342"/>
      <c r="F35" s="342"/>
      <c r="G35" s="342"/>
      <c r="H35" s="342"/>
    </row>
    <row r="36" spans="1:8" x14ac:dyDescent="0.25">
      <c r="A36" s="348" t="s">
        <v>59</v>
      </c>
      <c r="B36" s="348"/>
      <c r="C36" s="348"/>
      <c r="D36" s="348"/>
      <c r="E36" s="348"/>
      <c r="F36" s="348"/>
      <c r="G36" s="348"/>
      <c r="H36" s="348"/>
    </row>
    <row r="38" spans="1:8" ht="15" customHeight="1" x14ac:dyDescent="0.25">
      <c r="A38" s="359" t="s">
        <v>80</v>
      </c>
      <c r="B38" s="360"/>
      <c r="C38" s="364" t="s">
        <v>77</v>
      </c>
      <c r="D38" s="365"/>
      <c r="E38" s="338" t="s">
        <v>78</v>
      </c>
      <c r="F38" s="338" t="s">
        <v>79</v>
      </c>
      <c r="G38" s="364" t="s">
        <v>62</v>
      </c>
      <c r="H38" s="368"/>
    </row>
    <row r="39" spans="1:8" x14ac:dyDescent="0.25">
      <c r="A39" s="36" t="s">
        <v>81</v>
      </c>
      <c r="B39" s="84" t="s">
        <v>82</v>
      </c>
      <c r="C39" s="366"/>
      <c r="D39" s="367"/>
      <c r="E39" s="340"/>
      <c r="F39" s="340"/>
      <c r="G39" s="366"/>
      <c r="H39" s="369"/>
    </row>
    <row r="40" spans="1:8" x14ac:dyDescent="0.25">
      <c r="A40" s="23">
        <v>25</v>
      </c>
      <c r="B40" s="24">
        <f>A40+7</f>
        <v>32</v>
      </c>
      <c r="C40" s="26">
        <f>MROUND((0.04*(A40-14))+0.94,0.1)</f>
        <v>1.4000000000000001</v>
      </c>
      <c r="D40" s="27" t="s">
        <v>61</v>
      </c>
      <c r="E40" s="30">
        <f>MROUND((0.0464*(A40+7))+2.9214,0.1)</f>
        <v>4.4000000000000004</v>
      </c>
      <c r="F40" s="30">
        <f>MROUND((0.06*(A40+7))+3.2714,0.1)</f>
        <v>5.2</v>
      </c>
      <c r="G40" s="28">
        <f>MROUND((900*3600)/((A40+7)*5280),0.1)</f>
        <v>19.200000000000003</v>
      </c>
      <c r="H40" s="2"/>
    </row>
    <row r="41" spans="1:8" x14ac:dyDescent="0.25">
      <c r="A41" s="23">
        <v>30</v>
      </c>
      <c r="B41" s="24">
        <f t="shared" ref="B41:B50" si="4">A41+7</f>
        <v>37</v>
      </c>
      <c r="C41" s="26">
        <f t="shared" ref="C41:C50" si="5">MROUND((0.04*(A41-14))+0.94,0.1)</f>
        <v>1.6</v>
      </c>
      <c r="D41" s="27" t="s">
        <v>61</v>
      </c>
      <c r="E41" s="30">
        <f t="shared" ref="E41:E50" si="6">MROUND((0.0464*(A41+7))+2.9214,0.1)</f>
        <v>4.6000000000000005</v>
      </c>
      <c r="F41" s="30">
        <f t="shared" ref="F41:F50" si="7">MROUND((0.06*(A41+7))+3.2714,0.1)</f>
        <v>5.5</v>
      </c>
      <c r="G41" s="28">
        <f t="shared" ref="G41:G50" si="8">MROUND((900*3600)/((A41+7)*5280),0.1)</f>
        <v>16.600000000000001</v>
      </c>
      <c r="H41" s="2"/>
    </row>
    <row r="42" spans="1:8" x14ac:dyDescent="0.25">
      <c r="A42" s="23">
        <v>35</v>
      </c>
      <c r="B42" s="24">
        <f t="shared" si="4"/>
        <v>42</v>
      </c>
      <c r="C42" s="26">
        <f t="shared" si="5"/>
        <v>1.8</v>
      </c>
      <c r="D42" s="27" t="s">
        <v>61</v>
      </c>
      <c r="E42" s="30">
        <f t="shared" si="6"/>
        <v>4.9000000000000004</v>
      </c>
      <c r="F42" s="30">
        <f t="shared" si="7"/>
        <v>5.8000000000000007</v>
      </c>
      <c r="G42" s="28">
        <f t="shared" si="8"/>
        <v>14.600000000000001</v>
      </c>
      <c r="H42" s="2"/>
    </row>
    <row r="43" spans="1:8" x14ac:dyDescent="0.25">
      <c r="A43" s="23">
        <v>40</v>
      </c>
      <c r="B43" s="24">
        <f t="shared" si="4"/>
        <v>47</v>
      </c>
      <c r="C43" s="26">
        <f t="shared" si="5"/>
        <v>2</v>
      </c>
      <c r="D43" s="27" t="s">
        <v>61</v>
      </c>
      <c r="E43" s="30">
        <f t="shared" si="6"/>
        <v>5.1000000000000005</v>
      </c>
      <c r="F43" s="30">
        <f t="shared" si="7"/>
        <v>6.1000000000000005</v>
      </c>
      <c r="G43" s="28">
        <f t="shared" si="8"/>
        <v>13.100000000000001</v>
      </c>
      <c r="H43" s="2"/>
    </row>
    <row r="44" spans="1:8" x14ac:dyDescent="0.25">
      <c r="A44" s="23">
        <v>45</v>
      </c>
      <c r="B44" s="24">
        <f t="shared" si="4"/>
        <v>52</v>
      </c>
      <c r="C44" s="26">
        <f t="shared" si="5"/>
        <v>2.2000000000000002</v>
      </c>
      <c r="D44" s="27" t="s">
        <v>61</v>
      </c>
      <c r="E44" s="30">
        <f t="shared" si="6"/>
        <v>5.3000000000000007</v>
      </c>
      <c r="F44" s="30">
        <f t="shared" si="7"/>
        <v>6.4</v>
      </c>
      <c r="G44" s="28">
        <f t="shared" si="8"/>
        <v>11.8</v>
      </c>
      <c r="H44" s="2"/>
    </row>
    <row r="45" spans="1:8" x14ac:dyDescent="0.25">
      <c r="A45" s="23">
        <v>50</v>
      </c>
      <c r="B45" s="24">
        <f t="shared" si="4"/>
        <v>57</v>
      </c>
      <c r="C45" s="26">
        <f t="shared" si="5"/>
        <v>2.4000000000000004</v>
      </c>
      <c r="D45" s="27" t="s">
        <v>61</v>
      </c>
      <c r="E45" s="30">
        <f t="shared" si="6"/>
        <v>5.6000000000000005</v>
      </c>
      <c r="F45" s="30">
        <f t="shared" si="7"/>
        <v>6.7</v>
      </c>
      <c r="G45" s="28">
        <f t="shared" si="8"/>
        <v>10.8</v>
      </c>
      <c r="H45" s="2"/>
    </row>
    <row r="46" spans="1:8" ht="15" customHeight="1" x14ac:dyDescent="0.25">
      <c r="A46" s="23">
        <v>55</v>
      </c>
      <c r="B46" s="24">
        <f t="shared" si="4"/>
        <v>62</v>
      </c>
      <c r="C46" s="26">
        <f t="shared" si="5"/>
        <v>2.6</v>
      </c>
      <c r="D46" s="27" t="s">
        <v>61</v>
      </c>
      <c r="E46" s="30">
        <f t="shared" si="6"/>
        <v>5.8000000000000007</v>
      </c>
      <c r="F46" s="30">
        <f t="shared" si="7"/>
        <v>7</v>
      </c>
      <c r="G46" s="28">
        <f t="shared" si="8"/>
        <v>9.9</v>
      </c>
      <c r="H46" s="2"/>
    </row>
    <row r="47" spans="1:8" x14ac:dyDescent="0.25">
      <c r="A47" s="23">
        <v>60</v>
      </c>
      <c r="B47" s="24">
        <f t="shared" si="4"/>
        <v>67</v>
      </c>
      <c r="C47" s="26">
        <f t="shared" si="5"/>
        <v>2.8000000000000003</v>
      </c>
      <c r="D47" s="27" t="s">
        <v>61</v>
      </c>
      <c r="E47" s="30">
        <f t="shared" si="6"/>
        <v>6</v>
      </c>
      <c r="F47" s="30">
        <f t="shared" si="7"/>
        <v>7.3000000000000007</v>
      </c>
      <c r="G47" s="32">
        <f t="shared" si="8"/>
        <v>9.2000000000000011</v>
      </c>
      <c r="H47" s="352" t="s">
        <v>159</v>
      </c>
    </row>
    <row r="48" spans="1:8" ht="15" customHeight="1" x14ac:dyDescent="0.25">
      <c r="A48" s="23">
        <v>65</v>
      </c>
      <c r="B48" s="24">
        <f t="shared" si="4"/>
        <v>72</v>
      </c>
      <c r="C48" s="26">
        <f t="shared" si="5"/>
        <v>3</v>
      </c>
      <c r="D48" s="27" t="s">
        <v>61</v>
      </c>
      <c r="E48" s="30">
        <f t="shared" si="6"/>
        <v>6.3000000000000007</v>
      </c>
      <c r="F48" s="30">
        <f t="shared" si="7"/>
        <v>7.6000000000000005</v>
      </c>
      <c r="G48" s="32">
        <f t="shared" si="8"/>
        <v>8.5</v>
      </c>
      <c r="H48" s="353"/>
    </row>
    <row r="49" spans="1:8" ht="15" customHeight="1" x14ac:dyDescent="0.25">
      <c r="A49" s="23">
        <v>70</v>
      </c>
      <c r="B49" s="24">
        <f t="shared" si="4"/>
        <v>77</v>
      </c>
      <c r="C49" s="26">
        <f t="shared" si="5"/>
        <v>3.2</v>
      </c>
      <c r="D49" s="27" t="s">
        <v>61</v>
      </c>
      <c r="E49" s="30">
        <f t="shared" si="6"/>
        <v>6.5</v>
      </c>
      <c r="F49" s="30">
        <f t="shared" si="7"/>
        <v>7.9</v>
      </c>
      <c r="G49" s="32">
        <f t="shared" si="8"/>
        <v>8</v>
      </c>
      <c r="H49" s="353"/>
    </row>
    <row r="50" spans="1:8" ht="15.75" thickBot="1" x14ac:dyDescent="0.3">
      <c r="A50" s="23">
        <v>75</v>
      </c>
      <c r="B50" s="24">
        <f t="shared" si="4"/>
        <v>82</v>
      </c>
      <c r="C50" s="26">
        <f t="shared" si="5"/>
        <v>3.4000000000000004</v>
      </c>
      <c r="D50" s="27" t="s">
        <v>61</v>
      </c>
      <c r="E50" s="33">
        <f t="shared" si="6"/>
        <v>6.7</v>
      </c>
      <c r="F50" s="34">
        <f t="shared" si="7"/>
        <v>8.2000000000000011</v>
      </c>
      <c r="G50" s="31">
        <f t="shared" si="8"/>
        <v>7.5</v>
      </c>
      <c r="H50" s="354"/>
    </row>
    <row r="51" spans="1:8" ht="15.75" thickTop="1" x14ac:dyDescent="0.25">
      <c r="C51" s="355" t="s">
        <v>64</v>
      </c>
      <c r="D51" s="356"/>
      <c r="E51" s="357"/>
      <c r="F51" s="357"/>
      <c r="G51" s="357"/>
      <c r="H51" s="358"/>
    </row>
  </sheetData>
  <sheetProtection sheet="1" objects="1" scenarios="1"/>
  <mergeCells count="40">
    <mergeCell ref="C10:D11"/>
    <mergeCell ref="E10:F11"/>
    <mergeCell ref="G10:H11"/>
    <mergeCell ref="C38:D39"/>
    <mergeCell ref="E38:E39"/>
    <mergeCell ref="F38:F39"/>
    <mergeCell ref="G38:H39"/>
    <mergeCell ref="E18:F18"/>
    <mergeCell ref="E19:F19"/>
    <mergeCell ref="E20:F20"/>
    <mergeCell ref="E21:F21"/>
    <mergeCell ref="E22:F22"/>
    <mergeCell ref="C23:H23"/>
    <mergeCell ref="A36:H36"/>
    <mergeCell ref="A1:H1"/>
    <mergeCell ref="A2:H2"/>
    <mergeCell ref="A3:H3"/>
    <mergeCell ref="C5:H5"/>
    <mergeCell ref="C35:H35"/>
    <mergeCell ref="E14:F14"/>
    <mergeCell ref="E15:F15"/>
    <mergeCell ref="E16:F16"/>
    <mergeCell ref="E17:F17"/>
    <mergeCell ref="A4:G4"/>
    <mergeCell ref="C6:H6"/>
    <mergeCell ref="C7:H7"/>
    <mergeCell ref="A8:H8"/>
    <mergeCell ref="E12:F12"/>
    <mergeCell ref="E13:F13"/>
    <mergeCell ref="A10:B10"/>
    <mergeCell ref="H19:H22"/>
    <mergeCell ref="C51:H51"/>
    <mergeCell ref="H47:H50"/>
    <mergeCell ref="A38:B38"/>
    <mergeCell ref="A29:H29"/>
    <mergeCell ref="A30:H30"/>
    <mergeCell ref="A31:H31"/>
    <mergeCell ref="A32:H32"/>
    <mergeCell ref="C33:H33"/>
    <mergeCell ref="C34:H34"/>
  </mergeCells>
  <pageMargins left="0.5" right="0.5" top="0.5" bottom="0.5" header="0.3" footer="0.3"/>
  <pageSetup scale="95"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U82"/>
  <sheetViews>
    <sheetView showGridLines="0" zoomScaleNormal="100" workbookViewId="0">
      <selection sqref="A1:R1"/>
    </sheetView>
  </sheetViews>
  <sheetFormatPr defaultRowHeight="15" x14ac:dyDescent="0.25"/>
  <cols>
    <col min="1" max="9" width="6" style="37" customWidth="1"/>
    <col min="10" max="10" width="6" style="37" bestFit="1" customWidth="1"/>
    <col min="11" max="17" width="6" style="37" customWidth="1"/>
    <col min="18" max="18" width="5.85546875" style="37" bestFit="1" customWidth="1"/>
    <col min="19" max="19" width="9.140625" style="37"/>
    <col min="20" max="20" width="9.140625" style="37" customWidth="1"/>
    <col min="21" max="16384" width="9.140625" style="37"/>
  </cols>
  <sheetData>
    <row r="1" spans="1:21" ht="32.25" x14ac:dyDescent="0.4">
      <c r="A1" s="300" t="str">
        <f>'Interactive Form'!A1</f>
        <v>UDOT Detection Form</v>
      </c>
      <c r="B1" s="300"/>
      <c r="C1" s="300"/>
      <c r="D1" s="300"/>
      <c r="E1" s="300"/>
      <c r="F1" s="300"/>
      <c r="G1" s="300"/>
      <c r="H1" s="300"/>
      <c r="I1" s="300"/>
      <c r="J1" s="300"/>
      <c r="K1" s="300"/>
      <c r="L1" s="300"/>
      <c r="M1" s="300"/>
      <c r="N1" s="300"/>
      <c r="O1" s="300"/>
      <c r="P1" s="300"/>
      <c r="Q1" s="300"/>
      <c r="R1" s="300"/>
    </row>
    <row r="2" spans="1:21" ht="12" customHeight="1" x14ac:dyDescent="0.3">
      <c r="A2" s="301" t="str">
        <f>'Interactive Form'!A2</f>
        <v>Form Revision: 4/9/2019 by MDL</v>
      </c>
      <c r="B2" s="301"/>
      <c r="C2" s="301"/>
      <c r="D2" s="301"/>
      <c r="E2" s="301"/>
      <c r="F2" s="301"/>
      <c r="G2" s="301"/>
      <c r="H2" s="301"/>
      <c r="I2" s="301"/>
      <c r="J2" s="301"/>
      <c r="K2" s="301"/>
      <c r="L2" s="301"/>
      <c r="M2" s="301"/>
      <c r="N2" s="301"/>
      <c r="O2" s="301"/>
      <c r="P2" s="301"/>
      <c r="Q2" s="301"/>
      <c r="R2" s="301"/>
    </row>
    <row r="3" spans="1:21" ht="12" customHeight="1" x14ac:dyDescent="0.3">
      <c r="A3" s="302" t="s">
        <v>154</v>
      </c>
      <c r="B3" s="302"/>
      <c r="C3" s="302"/>
      <c r="D3" s="302"/>
      <c r="E3" s="302"/>
      <c r="F3" s="302"/>
      <c r="G3" s="302"/>
      <c r="H3" s="302"/>
      <c r="I3" s="302"/>
      <c r="J3" s="302"/>
      <c r="K3" s="302"/>
      <c r="L3" s="302"/>
      <c r="M3" s="302"/>
      <c r="N3" s="302"/>
      <c r="O3" s="302"/>
      <c r="P3" s="302"/>
      <c r="Q3" s="302"/>
      <c r="R3" s="302"/>
    </row>
    <row r="4" spans="1:21" ht="30" customHeight="1" x14ac:dyDescent="0.25">
      <c r="A4" s="299" t="s">
        <v>138</v>
      </c>
      <c r="B4" s="299"/>
      <c r="C4" s="283"/>
      <c r="D4" s="284"/>
      <c r="E4" s="285"/>
      <c r="F4" s="285"/>
      <c r="G4" s="284"/>
      <c r="H4" s="284"/>
      <c r="I4" s="284"/>
      <c r="J4" s="284"/>
      <c r="K4" s="284"/>
      <c r="L4" s="284"/>
      <c r="M4" s="284"/>
      <c r="N4" s="284"/>
      <c r="O4" s="285"/>
      <c r="P4" s="284"/>
      <c r="Q4" s="284"/>
      <c r="R4" s="284"/>
    </row>
    <row r="5" spans="1:21" ht="15" customHeight="1" x14ac:dyDescent="0.25">
      <c r="A5" s="286" t="s">
        <v>139</v>
      </c>
      <c r="B5" s="286"/>
      <c r="C5" s="286"/>
      <c r="D5" s="169"/>
      <c r="E5" s="286" t="s">
        <v>140</v>
      </c>
      <c r="F5" s="286"/>
      <c r="G5" s="287"/>
      <c r="H5" s="288"/>
      <c r="I5" s="288"/>
      <c r="J5" s="288"/>
      <c r="K5" s="288"/>
      <c r="L5" s="288"/>
      <c r="M5" s="288"/>
      <c r="N5" s="289"/>
      <c r="O5" s="171" t="s">
        <v>141</v>
      </c>
      <c r="P5" s="290"/>
      <c r="Q5" s="291"/>
      <c r="R5" s="291"/>
    </row>
    <row r="6" spans="1:21" ht="15" customHeight="1" x14ac:dyDescent="0.25">
      <c r="A6" s="108"/>
      <c r="B6" s="108"/>
      <c r="C6" s="108"/>
      <c r="D6" s="109"/>
      <c r="E6" s="108"/>
      <c r="F6" s="108"/>
      <c r="G6" s="109"/>
      <c r="H6" s="109"/>
      <c r="I6" s="109"/>
      <c r="J6" s="109"/>
      <c r="K6" s="109"/>
      <c r="L6" s="109"/>
      <c r="M6" s="109"/>
      <c r="N6" s="109"/>
      <c r="O6" s="108"/>
      <c r="P6" s="109"/>
      <c r="Q6" s="109"/>
      <c r="R6" s="109"/>
    </row>
    <row r="7" spans="1:21" s="67" customFormat="1" ht="15" customHeight="1" x14ac:dyDescent="0.25">
      <c r="A7" s="133"/>
      <c r="B7" s="304" t="s">
        <v>5</v>
      </c>
      <c r="C7" s="304"/>
      <c r="D7" s="304"/>
      <c r="E7" s="304"/>
      <c r="F7" s="304"/>
      <c r="G7" s="304"/>
      <c r="H7" s="303" t="s">
        <v>92</v>
      </c>
      <c r="I7" s="303"/>
      <c r="J7" s="168">
        <v>1</v>
      </c>
      <c r="K7" s="168">
        <v>2</v>
      </c>
      <c r="L7" s="168">
        <v>3</v>
      </c>
      <c r="M7" s="168">
        <v>4</v>
      </c>
      <c r="N7" s="168">
        <v>5</v>
      </c>
      <c r="O7" s="168">
        <v>6</v>
      </c>
      <c r="P7" s="168">
        <v>7</v>
      </c>
      <c r="Q7" s="168">
        <v>8</v>
      </c>
      <c r="R7" s="107"/>
    </row>
    <row r="8" spans="1:21" x14ac:dyDescent="0.25">
      <c r="A8" s="296" t="s">
        <v>95</v>
      </c>
      <c r="B8" s="297"/>
      <c r="C8" s="297"/>
      <c r="D8" s="297"/>
      <c r="E8" s="297"/>
      <c r="F8" s="297"/>
      <c r="G8" s="297"/>
      <c r="H8" s="297"/>
      <c r="I8" s="298"/>
      <c r="J8" s="119"/>
      <c r="K8" s="97"/>
      <c r="L8" s="119"/>
      <c r="M8" s="97"/>
      <c r="N8" s="119"/>
      <c r="O8" s="97"/>
      <c r="P8" s="119"/>
      <c r="Q8" s="97"/>
      <c r="R8" s="60" t="s">
        <v>2</v>
      </c>
    </row>
    <row r="9" spans="1:21" x14ac:dyDescent="0.25">
      <c r="A9" s="207" t="s">
        <v>85</v>
      </c>
      <c r="B9" s="208"/>
      <c r="C9" s="208"/>
      <c r="D9" s="208"/>
      <c r="E9" s="208"/>
      <c r="F9" s="208"/>
      <c r="G9" s="208"/>
      <c r="H9" s="208"/>
      <c r="I9" s="209"/>
      <c r="J9" s="120"/>
      <c r="K9" s="98"/>
      <c r="L9" s="120"/>
      <c r="M9" s="98"/>
      <c r="N9" s="120"/>
      <c r="O9" s="98"/>
      <c r="P9" s="120"/>
      <c r="Q9" s="98"/>
      <c r="R9" s="70" t="s">
        <v>2</v>
      </c>
    </row>
    <row r="10" spans="1:21" x14ac:dyDescent="0.25">
      <c r="A10" s="207" t="s">
        <v>6</v>
      </c>
      <c r="B10" s="208"/>
      <c r="C10" s="208"/>
      <c r="D10" s="208"/>
      <c r="E10" s="208"/>
      <c r="F10" s="208"/>
      <c r="G10" s="208"/>
      <c r="H10" s="208"/>
      <c r="I10" s="209"/>
      <c r="J10" s="120"/>
      <c r="K10" s="98"/>
      <c r="L10" s="120"/>
      <c r="M10" s="98"/>
      <c r="N10" s="120"/>
      <c r="O10" s="98"/>
      <c r="P10" s="120"/>
      <c r="Q10" s="98"/>
      <c r="R10" s="70" t="s">
        <v>0</v>
      </c>
      <c r="S10" s="39"/>
      <c r="T10" s="39"/>
      <c r="U10" s="39"/>
    </row>
    <row r="11" spans="1:21" x14ac:dyDescent="0.25">
      <c r="A11" s="70"/>
      <c r="B11" s="207" t="s">
        <v>17</v>
      </c>
      <c r="C11" s="208"/>
      <c r="D11" s="208"/>
      <c r="E11" s="208"/>
      <c r="F11" s="208"/>
      <c r="G11" s="208"/>
      <c r="H11" s="208"/>
      <c r="I11" s="209"/>
      <c r="J11" s="120"/>
      <c r="K11" s="98"/>
      <c r="L11" s="120"/>
      <c r="M11" s="98"/>
      <c r="N11" s="120"/>
      <c r="O11" s="98"/>
      <c r="P11" s="120"/>
      <c r="Q11" s="98"/>
      <c r="R11" s="70" t="s">
        <v>0</v>
      </c>
      <c r="S11" s="39"/>
      <c r="T11" s="39"/>
      <c r="U11" s="39"/>
    </row>
    <row r="12" spans="1:21" x14ac:dyDescent="0.25">
      <c r="A12" s="70"/>
      <c r="B12" s="207" t="s">
        <v>3</v>
      </c>
      <c r="C12" s="208"/>
      <c r="D12" s="208"/>
      <c r="E12" s="208"/>
      <c r="F12" s="208"/>
      <c r="G12" s="208"/>
      <c r="H12" s="208"/>
      <c r="I12" s="209"/>
      <c r="J12" s="120"/>
      <c r="K12" s="98"/>
      <c r="L12" s="120"/>
      <c r="M12" s="98"/>
      <c r="N12" s="120"/>
      <c r="O12" s="98"/>
      <c r="P12" s="120"/>
      <c r="Q12" s="98"/>
      <c r="R12" s="70" t="s">
        <v>0</v>
      </c>
    </row>
    <row r="13" spans="1:21" x14ac:dyDescent="0.25">
      <c r="A13" s="70"/>
      <c r="B13" s="207" t="s">
        <v>4</v>
      </c>
      <c r="C13" s="208"/>
      <c r="D13" s="208"/>
      <c r="E13" s="208"/>
      <c r="F13" s="208"/>
      <c r="G13" s="208"/>
      <c r="H13" s="208"/>
      <c r="I13" s="209"/>
      <c r="J13" s="120"/>
      <c r="K13" s="98"/>
      <c r="L13" s="120"/>
      <c r="M13" s="98"/>
      <c r="N13" s="120"/>
      <c r="O13" s="98"/>
      <c r="P13" s="120"/>
      <c r="Q13" s="98"/>
      <c r="R13" s="70" t="s">
        <v>0</v>
      </c>
    </row>
    <row r="14" spans="1:21" x14ac:dyDescent="0.25">
      <c r="A14" s="207" t="s">
        <v>97</v>
      </c>
      <c r="B14" s="208"/>
      <c r="C14" s="208"/>
      <c r="D14" s="208"/>
      <c r="E14" s="208"/>
      <c r="F14" s="208"/>
      <c r="G14" s="208"/>
      <c r="H14" s="208"/>
      <c r="I14" s="209"/>
      <c r="J14" s="120"/>
      <c r="K14" s="98"/>
      <c r="L14" s="120"/>
      <c r="M14" s="98"/>
      <c r="N14" s="120"/>
      <c r="O14" s="98"/>
      <c r="P14" s="120"/>
      <c r="Q14" s="98"/>
      <c r="R14" s="70"/>
    </row>
    <row r="15" spans="1:21" x14ac:dyDescent="0.25">
      <c r="A15" s="305" t="s">
        <v>98</v>
      </c>
      <c r="B15" s="306"/>
      <c r="C15" s="306"/>
      <c r="D15" s="306"/>
      <c r="E15" s="306"/>
      <c r="F15" s="306"/>
      <c r="G15" s="306"/>
      <c r="H15" s="306"/>
      <c r="I15" s="307"/>
      <c r="J15" s="98"/>
      <c r="K15" s="120"/>
      <c r="L15" s="98"/>
      <c r="M15" s="120"/>
      <c r="N15" s="98"/>
      <c r="O15" s="120"/>
      <c r="P15" s="98"/>
      <c r="Q15" s="120"/>
      <c r="R15" s="70"/>
    </row>
    <row r="16" spans="1:21" x14ac:dyDescent="0.25">
      <c r="A16" s="305" t="s">
        <v>96</v>
      </c>
      <c r="B16" s="306"/>
      <c r="C16" s="306"/>
      <c r="D16" s="306"/>
      <c r="E16" s="306"/>
      <c r="F16" s="306"/>
      <c r="G16" s="306"/>
      <c r="H16" s="306"/>
      <c r="I16" s="307"/>
      <c r="J16" s="98"/>
      <c r="K16" s="120"/>
      <c r="L16" s="98"/>
      <c r="M16" s="120"/>
      <c r="N16" s="98"/>
      <c r="O16" s="120"/>
      <c r="P16" s="98"/>
      <c r="Q16" s="120"/>
      <c r="R16" s="70" t="s">
        <v>2</v>
      </c>
    </row>
    <row r="17" spans="1:21" x14ac:dyDescent="0.25">
      <c r="A17" s="207" t="s">
        <v>93</v>
      </c>
      <c r="B17" s="208"/>
      <c r="C17" s="208"/>
      <c r="D17" s="208"/>
      <c r="E17" s="208"/>
      <c r="F17" s="208"/>
      <c r="G17" s="208"/>
      <c r="H17" s="208"/>
      <c r="I17" s="209"/>
      <c r="J17" s="98"/>
      <c r="K17" s="120"/>
      <c r="L17" s="98"/>
      <c r="M17" s="120"/>
      <c r="N17" s="98"/>
      <c r="O17" s="120"/>
      <c r="P17" s="98"/>
      <c r="Q17" s="120"/>
      <c r="R17" s="70" t="s">
        <v>2</v>
      </c>
    </row>
    <row r="18" spans="1:21" x14ac:dyDescent="0.25">
      <c r="A18" s="305" t="s">
        <v>129</v>
      </c>
      <c r="B18" s="306"/>
      <c r="C18" s="306"/>
      <c r="D18" s="306"/>
      <c r="E18" s="306"/>
      <c r="F18" s="306"/>
      <c r="G18" s="306"/>
      <c r="H18" s="306"/>
      <c r="I18" s="307"/>
      <c r="J18" s="98"/>
      <c r="K18" s="120"/>
      <c r="L18" s="98"/>
      <c r="M18" s="120"/>
      <c r="N18" s="98"/>
      <c r="O18" s="120"/>
      <c r="P18" s="98"/>
      <c r="Q18" s="120"/>
      <c r="R18" s="70"/>
    </row>
    <row r="19" spans="1:21" x14ac:dyDescent="0.25">
      <c r="A19" s="305" t="s">
        <v>103</v>
      </c>
      <c r="B19" s="306"/>
      <c r="C19" s="306"/>
      <c r="D19" s="306"/>
      <c r="E19" s="306"/>
      <c r="F19" s="306"/>
      <c r="G19" s="306"/>
      <c r="H19" s="306"/>
      <c r="I19" s="307"/>
      <c r="J19" s="98"/>
      <c r="K19" s="120"/>
      <c r="L19" s="98"/>
      <c r="M19" s="120"/>
      <c r="N19" s="98"/>
      <c r="O19" s="120"/>
      <c r="P19" s="98"/>
      <c r="Q19" s="120"/>
      <c r="R19" s="70"/>
    </row>
    <row r="20" spans="1:21" x14ac:dyDescent="0.25">
      <c r="A20" s="305" t="s">
        <v>94</v>
      </c>
      <c r="B20" s="306"/>
      <c r="C20" s="306"/>
      <c r="D20" s="306"/>
      <c r="E20" s="306"/>
      <c r="F20" s="306"/>
      <c r="G20" s="306"/>
      <c r="H20" s="306"/>
      <c r="I20" s="307"/>
      <c r="J20" s="98"/>
      <c r="K20" s="120"/>
      <c r="L20" s="98"/>
      <c r="M20" s="120"/>
      <c r="N20" s="98"/>
      <c r="O20" s="120"/>
      <c r="P20" s="98"/>
      <c r="Q20" s="120"/>
      <c r="R20" s="70" t="s">
        <v>0</v>
      </c>
    </row>
    <row r="21" spans="1:21" x14ac:dyDescent="0.25">
      <c r="A21" s="55"/>
      <c r="B21" s="55"/>
      <c r="C21" s="55"/>
      <c r="D21" s="55"/>
      <c r="E21" s="55"/>
      <c r="F21" s="55"/>
      <c r="G21" s="55"/>
      <c r="H21" s="55"/>
      <c r="I21" s="55"/>
      <c r="J21" s="55"/>
      <c r="K21" s="55"/>
      <c r="L21" s="55"/>
      <c r="M21" s="55"/>
      <c r="N21" s="55"/>
      <c r="O21" s="55"/>
      <c r="P21" s="55"/>
      <c r="Q21" s="55"/>
      <c r="R21" s="55"/>
    </row>
    <row r="22" spans="1:21" s="68" customFormat="1" ht="13.5" x14ac:dyDescent="0.25">
      <c r="A22" s="133"/>
      <c r="B22" s="304" t="s">
        <v>7</v>
      </c>
      <c r="C22" s="304"/>
      <c r="D22" s="304"/>
      <c r="E22" s="304"/>
      <c r="F22" s="304"/>
      <c r="G22" s="304"/>
      <c r="H22" s="303" t="s">
        <v>92</v>
      </c>
      <c r="I22" s="303"/>
      <c r="J22" s="168">
        <v>1</v>
      </c>
      <c r="K22" s="168">
        <v>2</v>
      </c>
      <c r="L22" s="168">
        <v>3</v>
      </c>
      <c r="M22" s="168">
        <v>4</v>
      </c>
      <c r="N22" s="168">
        <v>5</v>
      </c>
      <c r="O22" s="168">
        <v>6</v>
      </c>
      <c r="P22" s="168">
        <v>7</v>
      </c>
      <c r="Q22" s="168">
        <v>8</v>
      </c>
      <c r="R22" s="107"/>
    </row>
    <row r="23" spans="1:21" x14ac:dyDescent="0.25">
      <c r="A23" s="295" t="s">
        <v>99</v>
      </c>
      <c r="B23" s="295"/>
      <c r="C23" s="295"/>
      <c r="D23" s="295"/>
      <c r="E23" s="295"/>
      <c r="F23" s="295"/>
      <c r="G23" s="295"/>
      <c r="H23" s="295"/>
      <c r="I23" s="295"/>
      <c r="J23" s="102"/>
      <c r="K23" s="102"/>
      <c r="L23" s="102"/>
      <c r="M23" s="102"/>
      <c r="N23" s="102"/>
      <c r="O23" s="102"/>
      <c r="P23" s="102"/>
      <c r="Q23" s="102"/>
      <c r="R23" s="132" t="s">
        <v>1</v>
      </c>
    </row>
    <row r="24" spans="1:21" ht="15" customHeight="1" x14ac:dyDescent="0.25">
      <c r="A24" s="295" t="s">
        <v>108</v>
      </c>
      <c r="B24" s="295"/>
      <c r="C24" s="295"/>
      <c r="D24" s="295"/>
      <c r="E24" s="295"/>
      <c r="F24" s="295"/>
      <c r="G24" s="295"/>
      <c r="H24" s="295"/>
      <c r="I24" s="295"/>
      <c r="J24" s="121"/>
      <c r="K24" s="102"/>
      <c r="L24" s="121"/>
      <c r="M24" s="102"/>
      <c r="N24" s="121"/>
      <c r="O24" s="102"/>
      <c r="P24" s="121"/>
      <c r="Q24" s="102"/>
      <c r="R24" s="132" t="s">
        <v>1</v>
      </c>
    </row>
    <row r="25" spans="1:21" x14ac:dyDescent="0.25">
      <c r="A25" s="295" t="s">
        <v>109</v>
      </c>
      <c r="B25" s="295"/>
      <c r="C25" s="295"/>
      <c r="D25" s="295"/>
      <c r="E25" s="295"/>
      <c r="F25" s="295"/>
      <c r="G25" s="295"/>
      <c r="H25" s="295"/>
      <c r="I25" s="295"/>
      <c r="J25" s="121"/>
      <c r="K25" s="102"/>
      <c r="L25" s="121"/>
      <c r="M25" s="102"/>
      <c r="N25" s="121"/>
      <c r="O25" s="102"/>
      <c r="P25" s="121"/>
      <c r="Q25" s="102"/>
      <c r="R25" s="132" t="s">
        <v>1</v>
      </c>
      <c r="U25" s="39"/>
    </row>
    <row r="26" spans="1:21" x14ac:dyDescent="0.25">
      <c r="A26" s="295" t="s">
        <v>110</v>
      </c>
      <c r="B26" s="295"/>
      <c r="C26" s="295"/>
      <c r="D26" s="295"/>
      <c r="E26" s="295"/>
      <c r="F26" s="295"/>
      <c r="G26" s="295"/>
      <c r="H26" s="295"/>
      <c r="I26" s="295"/>
      <c r="J26" s="121"/>
      <c r="K26" s="102"/>
      <c r="L26" s="121"/>
      <c r="M26" s="102"/>
      <c r="N26" s="121"/>
      <c r="O26" s="102"/>
      <c r="P26" s="121"/>
      <c r="Q26" s="102"/>
      <c r="R26" s="132" t="s">
        <v>1</v>
      </c>
      <c r="U26" s="39"/>
    </row>
    <row r="27" spans="1:21" x14ac:dyDescent="0.25">
      <c r="A27" s="295" t="s">
        <v>111</v>
      </c>
      <c r="B27" s="295"/>
      <c r="C27" s="295"/>
      <c r="D27" s="295"/>
      <c r="E27" s="295"/>
      <c r="F27" s="295"/>
      <c r="G27" s="295"/>
      <c r="H27" s="295"/>
      <c r="I27" s="295"/>
      <c r="J27" s="121"/>
      <c r="K27" s="102"/>
      <c r="L27" s="121"/>
      <c r="M27" s="102"/>
      <c r="N27" s="121"/>
      <c r="O27" s="102"/>
      <c r="P27" s="121"/>
      <c r="Q27" s="102"/>
      <c r="R27" s="132" t="s">
        <v>1</v>
      </c>
    </row>
    <row r="28" spans="1:21" x14ac:dyDescent="0.25">
      <c r="A28" s="316" t="s">
        <v>107</v>
      </c>
      <c r="B28" s="316"/>
      <c r="C28" s="316"/>
      <c r="D28" s="316"/>
      <c r="E28" s="316"/>
      <c r="F28" s="316"/>
      <c r="G28" s="316"/>
      <c r="H28" s="316"/>
      <c r="I28" s="316"/>
      <c r="J28" s="121"/>
      <c r="K28" s="102"/>
      <c r="L28" s="121"/>
      <c r="M28" s="102"/>
      <c r="N28" s="121"/>
      <c r="O28" s="102"/>
      <c r="P28" s="121"/>
      <c r="Q28" s="102"/>
      <c r="R28" s="132" t="s">
        <v>1</v>
      </c>
    </row>
    <row r="29" spans="1:21" x14ac:dyDescent="0.25">
      <c r="A29" s="316" t="s">
        <v>106</v>
      </c>
      <c r="B29" s="316"/>
      <c r="C29" s="316"/>
      <c r="D29" s="316"/>
      <c r="E29" s="316"/>
      <c r="F29" s="316"/>
      <c r="G29" s="316"/>
      <c r="H29" s="316"/>
      <c r="I29" s="316"/>
      <c r="J29" s="102"/>
      <c r="K29" s="121"/>
      <c r="L29" s="102"/>
      <c r="M29" s="121"/>
      <c r="N29" s="102"/>
      <c r="O29" s="121"/>
      <c r="P29" s="102"/>
      <c r="Q29" s="121"/>
      <c r="R29" s="132" t="s">
        <v>1</v>
      </c>
    </row>
    <row r="30" spans="1:21" x14ac:dyDescent="0.25">
      <c r="A30" s="316" t="s">
        <v>104</v>
      </c>
      <c r="B30" s="316"/>
      <c r="C30" s="316"/>
      <c r="D30" s="316"/>
      <c r="E30" s="316"/>
      <c r="F30" s="316"/>
      <c r="G30" s="316"/>
      <c r="H30" s="316"/>
      <c r="I30" s="316"/>
      <c r="J30" s="102"/>
      <c r="K30" s="121"/>
      <c r="L30" s="102"/>
      <c r="M30" s="121"/>
      <c r="N30" s="102"/>
      <c r="O30" s="121"/>
      <c r="P30" s="102"/>
      <c r="Q30" s="121"/>
      <c r="R30" s="132" t="s">
        <v>2</v>
      </c>
    </row>
    <row r="31" spans="1:21" x14ac:dyDescent="0.25">
      <c r="A31" s="55"/>
      <c r="B31" s="55"/>
      <c r="C31" s="55"/>
      <c r="D31" s="55"/>
      <c r="E31" s="55"/>
      <c r="F31" s="55"/>
      <c r="G31" s="55"/>
      <c r="H31" s="55"/>
      <c r="I31" s="55"/>
      <c r="J31" s="55"/>
      <c r="K31" s="55"/>
      <c r="L31" s="55"/>
      <c r="M31" s="55"/>
      <c r="N31" s="55"/>
      <c r="O31" s="55"/>
      <c r="P31" s="55"/>
      <c r="Q31" s="55"/>
      <c r="R31" s="55"/>
    </row>
    <row r="32" spans="1:21" x14ac:dyDescent="0.25">
      <c r="A32" s="310"/>
      <c r="B32" s="312" t="s">
        <v>142</v>
      </c>
      <c r="C32" s="312"/>
      <c r="D32" s="312"/>
      <c r="E32" s="312"/>
      <c r="F32" s="312"/>
      <c r="G32" s="313"/>
      <c r="H32" s="293" t="s">
        <v>143</v>
      </c>
      <c r="I32" s="294"/>
      <c r="J32" s="292" t="s">
        <v>147</v>
      </c>
      <c r="K32" s="292"/>
      <c r="L32" s="292"/>
      <c r="M32" s="292"/>
      <c r="N32" s="292"/>
      <c r="O32" s="292"/>
      <c r="P32" s="292"/>
      <c r="Q32" s="292"/>
      <c r="R32" s="292"/>
    </row>
    <row r="33" spans="1:21" s="68" customFormat="1" ht="13.5" x14ac:dyDescent="0.25">
      <c r="A33" s="311"/>
      <c r="B33" s="314"/>
      <c r="C33" s="314"/>
      <c r="D33" s="314"/>
      <c r="E33" s="314"/>
      <c r="F33" s="314"/>
      <c r="G33" s="315"/>
      <c r="H33" s="104" t="s">
        <v>145</v>
      </c>
      <c r="I33" s="105" t="s">
        <v>146</v>
      </c>
      <c r="J33" s="168">
        <v>1</v>
      </c>
      <c r="K33" s="168">
        <v>2</v>
      </c>
      <c r="L33" s="168">
        <v>3</v>
      </c>
      <c r="M33" s="168">
        <v>4</v>
      </c>
      <c r="N33" s="168">
        <v>5</v>
      </c>
      <c r="O33" s="168">
        <v>6</v>
      </c>
      <c r="P33" s="168">
        <v>7</v>
      </c>
      <c r="Q33" s="168">
        <v>8</v>
      </c>
      <c r="R33" s="103"/>
    </row>
    <row r="34" spans="1:21" x14ac:dyDescent="0.25">
      <c r="A34" s="308" t="s">
        <v>100</v>
      </c>
      <c r="B34" s="309"/>
      <c r="C34" s="309"/>
      <c r="D34" s="309"/>
      <c r="E34" s="309"/>
      <c r="F34" s="309"/>
      <c r="G34" s="309"/>
      <c r="H34" s="100">
        <f>IF('Interactive Form'!H30="","",'Interactive Form'!H30)</f>
        <v>20</v>
      </c>
      <c r="I34" s="101">
        <f>IF('Interactive Form'!I30="","",'Interactive Form'!I30)</f>
        <v>20</v>
      </c>
      <c r="J34" s="99"/>
      <c r="K34" s="99"/>
      <c r="L34" s="99"/>
      <c r="M34" s="99"/>
      <c r="N34" s="99"/>
      <c r="O34" s="99"/>
      <c r="P34" s="99"/>
      <c r="Q34" s="99"/>
      <c r="R34" s="132" t="s">
        <v>2</v>
      </c>
      <c r="U34" s="38"/>
    </row>
    <row r="35" spans="1:21" x14ac:dyDescent="0.25">
      <c r="A35" s="308" t="s">
        <v>101</v>
      </c>
      <c r="B35" s="309"/>
      <c r="C35" s="309"/>
      <c r="D35" s="309"/>
      <c r="E35" s="309"/>
      <c r="F35" s="309"/>
      <c r="G35" s="309"/>
      <c r="H35" s="100">
        <f>IF('Interactive Form'!H31="","",'Interactive Form'!H31)</f>
        <v>3</v>
      </c>
      <c r="I35" s="101">
        <f>IF('Interactive Form'!I31="","",'Interactive Form'!I31)</f>
        <v>3</v>
      </c>
      <c r="J35" s="99"/>
      <c r="K35" s="99"/>
      <c r="L35" s="99"/>
      <c r="M35" s="99"/>
      <c r="N35" s="99"/>
      <c r="O35" s="99"/>
      <c r="P35" s="99"/>
      <c r="Q35" s="99"/>
      <c r="R35" s="132" t="s">
        <v>1</v>
      </c>
      <c r="U35" s="38"/>
    </row>
    <row r="36" spans="1:21" x14ac:dyDescent="0.25">
      <c r="A36" s="308" t="s">
        <v>91</v>
      </c>
      <c r="B36" s="309"/>
      <c r="C36" s="309"/>
      <c r="D36" s="309"/>
      <c r="E36" s="309"/>
      <c r="F36" s="309"/>
      <c r="G36" s="309"/>
      <c r="H36" s="122" t="str">
        <f>IF('Interactive Form'!H32="","",'Interactive Form'!H32)</f>
        <v/>
      </c>
      <c r="I36" s="101">
        <f>IF('Interactive Form'!I32="","",'Interactive Form'!I32)</f>
        <v>7</v>
      </c>
      <c r="J36" s="124"/>
      <c r="K36" s="99"/>
      <c r="L36" s="124"/>
      <c r="M36" s="99"/>
      <c r="N36" s="124"/>
      <c r="O36" s="99"/>
      <c r="P36" s="124"/>
      <c r="Q36" s="99"/>
      <c r="R36" s="132" t="s">
        <v>0</v>
      </c>
    </row>
    <row r="37" spans="1:21" x14ac:dyDescent="0.25">
      <c r="A37" s="308" t="s">
        <v>90</v>
      </c>
      <c r="B37" s="309"/>
      <c r="C37" s="309"/>
      <c r="D37" s="309"/>
      <c r="E37" s="309"/>
      <c r="F37" s="309"/>
      <c r="G37" s="309"/>
      <c r="H37" s="122" t="str">
        <f>IF('Interactive Form'!H33="","",'Interactive Form'!H33)</f>
        <v/>
      </c>
      <c r="I37" s="101">
        <f>IF('Interactive Form'!I33="","",'Interactive Form'!I33)</f>
        <v>88</v>
      </c>
      <c r="J37" s="124"/>
      <c r="K37" s="99"/>
      <c r="L37" s="124"/>
      <c r="M37" s="99"/>
      <c r="N37" s="124"/>
      <c r="O37" s="99"/>
      <c r="P37" s="124"/>
      <c r="Q37" s="99"/>
      <c r="R37" s="132" t="s">
        <v>11</v>
      </c>
    </row>
    <row r="38" spans="1:21" x14ac:dyDescent="0.25">
      <c r="A38" s="308" t="s">
        <v>144</v>
      </c>
      <c r="B38" s="309"/>
      <c r="C38" s="309"/>
      <c r="D38" s="309"/>
      <c r="E38" s="309"/>
      <c r="F38" s="309"/>
      <c r="G38" s="309"/>
      <c r="H38" s="122" t="str">
        <f>IF('Interactive Form'!H34="","",'Interactive Form'!H34)</f>
        <v/>
      </c>
      <c r="I38" s="101">
        <f>IF('Interactive Form'!I34="","",'Interactive Form'!I34)</f>
        <v>21</v>
      </c>
      <c r="J38" s="124"/>
      <c r="K38" s="99"/>
      <c r="L38" s="124"/>
      <c r="M38" s="99"/>
      <c r="N38" s="124"/>
      <c r="O38" s="99"/>
      <c r="P38" s="124"/>
      <c r="Q38" s="99"/>
      <c r="R38" s="132" t="s">
        <v>0</v>
      </c>
    </row>
    <row r="39" spans="1:21" ht="15" customHeight="1" x14ac:dyDescent="0.25">
      <c r="A39" s="308" t="s">
        <v>26</v>
      </c>
      <c r="B39" s="309"/>
      <c r="C39" s="309"/>
      <c r="D39" s="309"/>
      <c r="E39" s="309"/>
      <c r="F39" s="309"/>
      <c r="G39" s="309"/>
      <c r="H39" s="122" t="str">
        <f>IF('Interactive Form'!H35="","",'Interactive Form'!H35)</f>
        <v/>
      </c>
      <c r="I39" s="101">
        <f>IF('Interactive Form'!I35="","",'Interactive Form'!I35)</f>
        <v>600</v>
      </c>
      <c r="J39" s="124"/>
      <c r="K39" s="99"/>
      <c r="L39" s="124"/>
      <c r="M39" s="99"/>
      <c r="N39" s="124"/>
      <c r="O39" s="99"/>
      <c r="P39" s="124"/>
      <c r="Q39" s="99"/>
      <c r="R39" s="132" t="s">
        <v>2</v>
      </c>
    </row>
    <row r="40" spans="1:21" x14ac:dyDescent="0.25">
      <c r="A40" s="308" t="s">
        <v>25</v>
      </c>
      <c r="B40" s="309"/>
      <c r="C40" s="309"/>
      <c r="D40" s="309"/>
      <c r="E40" s="309"/>
      <c r="F40" s="309"/>
      <c r="G40" s="309"/>
      <c r="H40" s="122" t="str">
        <f>IF('Interactive Form'!H36="","",'Interactive Form'!H36)</f>
        <v/>
      </c>
      <c r="I40" s="101">
        <f>IF('Interactive Form'!I36="","",'Interactive Form'!I36)</f>
        <v>900</v>
      </c>
      <c r="J40" s="124"/>
      <c r="K40" s="99"/>
      <c r="L40" s="124"/>
      <c r="M40" s="99"/>
      <c r="N40" s="124"/>
      <c r="O40" s="99"/>
      <c r="P40" s="124"/>
      <c r="Q40" s="99"/>
      <c r="R40" s="132" t="s">
        <v>2</v>
      </c>
    </row>
    <row r="41" spans="1:21" x14ac:dyDescent="0.25">
      <c r="A41" s="308" t="s">
        <v>36</v>
      </c>
      <c r="B41" s="309"/>
      <c r="C41" s="309"/>
      <c r="D41" s="309"/>
      <c r="E41" s="309"/>
      <c r="F41" s="309"/>
      <c r="G41" s="309"/>
      <c r="H41" s="122" t="str">
        <f>IF('Interactive Form'!H37="","",'Interactive Form'!H37)</f>
        <v/>
      </c>
      <c r="I41" s="101">
        <f>IF('Interactive Form'!I37="","",'Interactive Form'!I37)</f>
        <v>35</v>
      </c>
      <c r="J41" s="124"/>
      <c r="K41" s="99"/>
      <c r="L41" s="124"/>
      <c r="M41" s="99"/>
      <c r="N41" s="124"/>
      <c r="O41" s="99"/>
      <c r="P41" s="124"/>
      <c r="Q41" s="99"/>
      <c r="R41" s="132" t="s">
        <v>0</v>
      </c>
    </row>
    <row r="42" spans="1:21" x14ac:dyDescent="0.25">
      <c r="A42" s="308" t="s">
        <v>88</v>
      </c>
      <c r="B42" s="309"/>
      <c r="C42" s="309"/>
      <c r="D42" s="309"/>
      <c r="E42" s="309"/>
      <c r="F42" s="309"/>
      <c r="G42" s="309"/>
      <c r="H42" s="100">
        <f>IF('Interactive Form'!H38="","",'Interactive Form'!H38)</f>
        <v>20</v>
      </c>
      <c r="I42" s="123" t="str">
        <f>IF('Interactive Form'!I38="","",'Interactive Form'!I38)</f>
        <v/>
      </c>
      <c r="J42" s="99"/>
      <c r="K42" s="124"/>
      <c r="L42" s="99"/>
      <c r="M42" s="124"/>
      <c r="N42" s="99"/>
      <c r="O42" s="124"/>
      <c r="P42" s="99"/>
      <c r="Q42" s="124"/>
      <c r="R42" s="132" t="s">
        <v>0</v>
      </c>
    </row>
    <row r="43" spans="1:21" x14ac:dyDescent="0.25">
      <c r="A43" s="55"/>
      <c r="B43" s="55"/>
      <c r="C43" s="55"/>
      <c r="D43" s="55"/>
      <c r="E43" s="55"/>
      <c r="F43" s="55"/>
      <c r="G43" s="55"/>
      <c r="H43" s="55"/>
      <c r="I43" s="55"/>
      <c r="J43" s="55"/>
      <c r="K43" s="55"/>
      <c r="L43" s="55"/>
      <c r="M43" s="55"/>
      <c r="N43" s="55"/>
      <c r="O43" s="55"/>
      <c r="P43" s="55"/>
      <c r="Q43" s="55"/>
      <c r="R43" s="55"/>
    </row>
    <row r="44" spans="1:21" s="68" customFormat="1" ht="12.75" x14ac:dyDescent="0.2">
      <c r="A44" s="133"/>
      <c r="B44" s="304" t="s">
        <v>84</v>
      </c>
      <c r="C44" s="304"/>
      <c r="D44" s="304"/>
      <c r="E44" s="304"/>
      <c r="F44" s="304"/>
      <c r="G44" s="304"/>
      <c r="H44" s="133"/>
      <c r="I44" s="133"/>
      <c r="J44" s="133"/>
      <c r="K44" s="133"/>
      <c r="L44" s="133"/>
      <c r="M44" s="133"/>
      <c r="N44" s="133"/>
      <c r="O44" s="133"/>
      <c r="P44" s="133"/>
      <c r="Q44" s="133"/>
      <c r="R44" s="133"/>
    </row>
    <row r="45" spans="1:21" x14ac:dyDescent="0.25">
      <c r="A45" s="370"/>
      <c r="B45" s="370"/>
      <c r="C45" s="370"/>
      <c r="D45" s="370"/>
      <c r="E45" s="370"/>
      <c r="F45" s="370"/>
      <c r="G45" s="370"/>
      <c r="H45" s="370"/>
      <c r="I45" s="370"/>
      <c r="J45" s="370"/>
      <c r="K45" s="370"/>
      <c r="L45" s="370"/>
      <c r="M45" s="370"/>
      <c r="N45" s="370"/>
      <c r="O45" s="370"/>
      <c r="P45" s="370"/>
      <c r="Q45" s="370"/>
      <c r="R45" s="370"/>
    </row>
    <row r="46" spans="1:21" ht="15" customHeight="1" x14ac:dyDescent="0.25">
      <c r="A46" s="370"/>
      <c r="B46" s="370"/>
      <c r="C46" s="370"/>
      <c r="D46" s="370"/>
      <c r="E46" s="370"/>
      <c r="F46" s="370"/>
      <c r="G46" s="370"/>
      <c r="H46" s="370"/>
      <c r="I46" s="370"/>
      <c r="J46" s="370"/>
      <c r="K46" s="370"/>
      <c r="L46" s="370"/>
      <c r="M46" s="370"/>
      <c r="N46" s="370"/>
      <c r="O46" s="370"/>
      <c r="P46" s="370"/>
      <c r="Q46" s="370"/>
      <c r="R46" s="370"/>
    </row>
    <row r="47" spans="1:21" x14ac:dyDescent="0.25">
      <c r="A47" s="370"/>
      <c r="B47" s="370"/>
      <c r="C47" s="370"/>
      <c r="D47" s="370"/>
      <c r="E47" s="370"/>
      <c r="F47" s="370"/>
      <c r="G47" s="370"/>
      <c r="H47" s="370"/>
      <c r="I47" s="370"/>
      <c r="J47" s="370"/>
      <c r="K47" s="370"/>
      <c r="L47" s="370"/>
      <c r="M47" s="370"/>
      <c r="N47" s="370"/>
      <c r="O47" s="370"/>
      <c r="P47" s="370"/>
      <c r="Q47" s="370"/>
      <c r="R47" s="370"/>
    </row>
    <row r="48" spans="1:21" x14ac:dyDescent="0.25">
      <c r="A48" s="370"/>
      <c r="B48" s="370"/>
      <c r="C48" s="370"/>
      <c r="D48" s="370"/>
      <c r="E48" s="370"/>
      <c r="F48" s="370"/>
      <c r="G48" s="370"/>
      <c r="H48" s="370"/>
      <c r="I48" s="370"/>
      <c r="J48" s="370"/>
      <c r="K48" s="370"/>
      <c r="L48" s="370"/>
      <c r="M48" s="370"/>
      <c r="N48" s="370"/>
      <c r="O48" s="370"/>
      <c r="P48" s="370"/>
      <c r="Q48" s="370"/>
      <c r="R48" s="370"/>
    </row>
    <row r="49" spans="1:18" x14ac:dyDescent="0.25">
      <c r="A49" s="370"/>
      <c r="B49" s="370"/>
      <c r="C49" s="370"/>
      <c r="D49" s="370"/>
      <c r="E49" s="370"/>
      <c r="F49" s="370"/>
      <c r="G49" s="370"/>
      <c r="H49" s="370"/>
      <c r="I49" s="370"/>
      <c r="J49" s="370"/>
      <c r="K49" s="370"/>
      <c r="L49" s="370"/>
      <c r="M49" s="370"/>
      <c r="N49" s="370"/>
      <c r="O49" s="370"/>
      <c r="P49" s="370"/>
      <c r="Q49" s="370"/>
      <c r="R49" s="370"/>
    </row>
    <row r="50" spans="1:18" x14ac:dyDescent="0.25">
      <c r="A50" s="370"/>
      <c r="B50" s="370"/>
      <c r="C50" s="370"/>
      <c r="D50" s="370"/>
      <c r="E50" s="370"/>
      <c r="F50" s="370"/>
      <c r="G50" s="370"/>
      <c r="H50" s="370"/>
      <c r="I50" s="370"/>
      <c r="J50" s="370"/>
      <c r="K50" s="370"/>
      <c r="L50" s="370"/>
      <c r="M50" s="370"/>
      <c r="N50" s="370"/>
      <c r="O50" s="370"/>
      <c r="P50" s="370"/>
      <c r="Q50" s="370"/>
      <c r="R50" s="370"/>
    </row>
    <row r="51" spans="1:18" x14ac:dyDescent="0.25">
      <c r="A51" s="370"/>
      <c r="B51" s="370"/>
      <c r="C51" s="370"/>
      <c r="D51" s="370"/>
      <c r="E51" s="370"/>
      <c r="F51" s="370"/>
      <c r="G51" s="370"/>
      <c r="H51" s="370"/>
      <c r="I51" s="370"/>
      <c r="J51" s="370"/>
      <c r="K51" s="370"/>
      <c r="L51" s="370"/>
      <c r="M51" s="370"/>
      <c r="N51" s="370"/>
      <c r="O51" s="370"/>
      <c r="P51" s="370"/>
      <c r="Q51" s="370"/>
      <c r="R51" s="370"/>
    </row>
    <row r="52" spans="1:18" x14ac:dyDescent="0.25">
      <c r="A52" s="92"/>
      <c r="B52" s="92"/>
      <c r="C52" s="92"/>
      <c r="D52" s="92"/>
      <c r="E52" s="92"/>
      <c r="F52" s="92"/>
      <c r="G52" s="92"/>
      <c r="H52" s="92"/>
      <c r="I52" s="92"/>
      <c r="J52" s="93"/>
      <c r="K52" s="93"/>
      <c r="L52" s="93"/>
      <c r="M52" s="93"/>
      <c r="N52" s="93"/>
      <c r="O52" s="93"/>
      <c r="P52" s="93"/>
      <c r="Q52" s="93"/>
      <c r="R52" s="93"/>
    </row>
    <row r="53" spans="1:18" x14ac:dyDescent="0.25">
      <c r="A53" s="92"/>
      <c r="B53" s="92"/>
      <c r="C53" s="92"/>
      <c r="D53" s="92"/>
      <c r="E53" s="92"/>
      <c r="F53" s="92"/>
      <c r="G53" s="92"/>
      <c r="H53" s="92"/>
      <c r="I53" s="92"/>
      <c r="J53" s="93"/>
      <c r="K53" s="93"/>
      <c r="L53" s="93"/>
      <c r="M53" s="93"/>
      <c r="N53" s="93"/>
      <c r="O53" s="93"/>
      <c r="P53" s="93"/>
      <c r="Q53" s="93"/>
      <c r="R53" s="93"/>
    </row>
    <row r="54" spans="1:18" x14ac:dyDescent="0.25">
      <c r="A54" s="92"/>
      <c r="B54" s="92"/>
      <c r="C54" s="92"/>
      <c r="D54" s="92"/>
      <c r="E54" s="92"/>
      <c r="F54" s="92"/>
      <c r="G54" s="92"/>
      <c r="H54" s="92"/>
      <c r="I54" s="92"/>
      <c r="J54" s="93"/>
      <c r="K54" s="93"/>
      <c r="L54" s="93"/>
      <c r="M54" s="93"/>
      <c r="N54" s="93"/>
      <c r="O54" s="93"/>
      <c r="P54" s="93"/>
      <c r="Q54" s="93"/>
      <c r="R54" s="93"/>
    </row>
    <row r="55" spans="1:18" x14ac:dyDescent="0.25">
      <c r="A55" s="92"/>
      <c r="B55" s="92"/>
      <c r="C55" s="92"/>
      <c r="D55" s="92"/>
      <c r="E55" s="92"/>
      <c r="F55" s="92"/>
      <c r="G55" s="92"/>
      <c r="H55" s="92"/>
      <c r="I55" s="92"/>
      <c r="J55" s="93"/>
      <c r="K55" s="93"/>
      <c r="L55" s="93"/>
      <c r="M55" s="93"/>
      <c r="N55" s="93"/>
      <c r="O55" s="93"/>
      <c r="P55" s="93"/>
      <c r="Q55" s="93"/>
      <c r="R55" s="93"/>
    </row>
    <row r="56" spans="1:18" x14ac:dyDescent="0.25">
      <c r="J56" s="86"/>
    </row>
    <row r="65" ht="15" customHeight="1" x14ac:dyDescent="0.25"/>
    <row r="79" ht="15" customHeight="1" x14ac:dyDescent="0.25"/>
    <row r="82" ht="15" customHeight="1" x14ac:dyDescent="0.25"/>
  </sheetData>
  <sheetProtection sheet="1" objects="1" scenarios="1"/>
  <mergeCells count="49">
    <mergeCell ref="A41:G41"/>
    <mergeCell ref="A42:G42"/>
    <mergeCell ref="A3:R3"/>
    <mergeCell ref="B44:G44"/>
    <mergeCell ref="A35:G35"/>
    <mergeCell ref="A36:G36"/>
    <mergeCell ref="A37:G37"/>
    <mergeCell ref="A38:G38"/>
    <mergeCell ref="A39:G39"/>
    <mergeCell ref="A40:G40"/>
    <mergeCell ref="A30:I30"/>
    <mergeCell ref="A32:A33"/>
    <mergeCell ref="B32:G33"/>
    <mergeCell ref="H32:I32"/>
    <mergeCell ref="J32:R32"/>
    <mergeCell ref="A34:G34"/>
    <mergeCell ref="A29:I29"/>
    <mergeCell ref="A18:I18"/>
    <mergeCell ref="A19:I19"/>
    <mergeCell ref="A20:I20"/>
    <mergeCell ref="B22:G22"/>
    <mergeCell ref="H22:I22"/>
    <mergeCell ref="A23:I23"/>
    <mergeCell ref="A24:I24"/>
    <mergeCell ref="A25:I25"/>
    <mergeCell ref="A26:I26"/>
    <mergeCell ref="A27:I27"/>
    <mergeCell ref="A28:I28"/>
    <mergeCell ref="B12:I12"/>
    <mergeCell ref="B13:I13"/>
    <mergeCell ref="A14:I14"/>
    <mergeCell ref="A15:I15"/>
    <mergeCell ref="A16:I16"/>
    <mergeCell ref="A45:R51"/>
    <mergeCell ref="A1:R1"/>
    <mergeCell ref="A2:R2"/>
    <mergeCell ref="A4:B4"/>
    <mergeCell ref="C4:R4"/>
    <mergeCell ref="A5:C5"/>
    <mergeCell ref="E5:F5"/>
    <mergeCell ref="G5:N5"/>
    <mergeCell ref="P5:R5"/>
    <mergeCell ref="A17:I17"/>
    <mergeCell ref="B7:G7"/>
    <mergeCell ref="H7:I7"/>
    <mergeCell ref="A8:I8"/>
    <mergeCell ref="A9:I9"/>
    <mergeCell ref="A10:I10"/>
    <mergeCell ref="B11:I11"/>
  </mergeCells>
  <printOptions horizontalCentered="1"/>
  <pageMargins left="0.25" right="0.25" top="0.75" bottom="0.75" header="0.3" footer="0.3"/>
  <pageSetup scale="8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Interactive Form</vt:lpstr>
      <vt:lpstr>Purpose and Instructions</vt:lpstr>
      <vt:lpstr>Quick Instructions</vt:lpstr>
      <vt:lpstr>Printout of Interactive Form</vt:lpstr>
      <vt:lpstr>Printable Form Instructions</vt:lpstr>
      <vt:lpstr>Table 1</vt:lpstr>
      <vt:lpstr>Tables 2a&amp;2b</vt:lpstr>
      <vt:lpstr>Blank Printable Form</vt:lpstr>
      <vt:lpstr>'Interactive Form'!Print_Area</vt:lpstr>
      <vt:lpstr>'Printout of Interactive Form'!Print_Area</vt:lpstr>
      <vt:lpstr>'Purpose and Instructions'!Print_Titles</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Luker</dc:creator>
  <cp:lastModifiedBy>Mark Taylor</cp:lastModifiedBy>
  <cp:lastPrinted>2019-04-09T23:32:38Z</cp:lastPrinted>
  <dcterms:created xsi:type="dcterms:W3CDTF">2016-08-23T16:01:05Z</dcterms:created>
  <dcterms:modified xsi:type="dcterms:W3CDTF">2019-04-16T16:07:52Z</dcterms:modified>
</cp:coreProperties>
</file>