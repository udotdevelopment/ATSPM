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1 Work Files\Detection\Detection Form April 2019\"/>
    </mc:Choice>
  </mc:AlternateContent>
  <bookViews>
    <workbookView xWindow="12600" yWindow="-15" windowWidth="2790" windowHeight="7680"/>
  </bookViews>
  <sheets>
    <sheet name="TimingWorksheet" sheetId="1" r:id="rId1"/>
    <sheet name="BlankTimingWorksheet" sheetId="7" r:id="rId2"/>
    <sheet name="DesignWorksheet" sheetId="5" r:id="rId3"/>
    <sheet name="DiagramCalcs" sheetId="2" r:id="rId4"/>
    <sheet name="Revision History" sheetId="8" r:id="rId5"/>
  </sheets>
  <definedNames>
    <definedName name="_xlnm.Print_Area" localSheetId="1">BlankTimingWorksheet!$A$1:$M$39</definedName>
    <definedName name="_xlnm.Print_Area" localSheetId="2">DesignWorksheet!$A$1:$X$87</definedName>
    <definedName name="_xlnm.Print_Area" localSheetId="0">TimingWorksheet!$A$1:$L$89</definedName>
  </definedNames>
  <calcPr calcId="152511"/>
</workbook>
</file>

<file path=xl/calcChain.xml><?xml version="1.0" encoding="utf-8"?>
<calcChain xmlns="http://schemas.openxmlformats.org/spreadsheetml/2006/main">
  <c r="B19" i="2" l="1"/>
  <c r="I11" i="1" l="1"/>
  <c r="A5" i="2" s="1"/>
  <c r="I10" i="1" s="1"/>
  <c r="A20" i="1" l="1"/>
  <c r="B18" i="2"/>
  <c r="B58" i="2" l="1"/>
  <c r="I37" i="1"/>
  <c r="D25" i="5"/>
  <c r="F25" i="5"/>
  <c r="H25" i="5"/>
  <c r="J25" i="5"/>
  <c r="L25" i="5"/>
  <c r="N25" i="5"/>
  <c r="P25" i="5"/>
  <c r="R25" i="5"/>
  <c r="T25" i="5"/>
  <c r="V25" i="5"/>
  <c r="D27" i="5"/>
  <c r="F27" i="5"/>
  <c r="H27" i="5"/>
  <c r="J27" i="5"/>
  <c r="L27" i="5"/>
  <c r="N27" i="5"/>
  <c r="P27" i="5"/>
  <c r="R27" i="5"/>
  <c r="T27" i="5"/>
  <c r="V27" i="5"/>
  <c r="D29" i="5"/>
  <c r="F29" i="5"/>
  <c r="H29" i="5"/>
  <c r="J29" i="5"/>
  <c r="L29" i="5"/>
  <c r="N29" i="5"/>
  <c r="P29" i="5"/>
  <c r="R29" i="5"/>
  <c r="T29" i="5"/>
  <c r="V29" i="5"/>
  <c r="D31" i="5"/>
  <c r="F31" i="5"/>
  <c r="H31" i="5"/>
  <c r="J31" i="5"/>
  <c r="L31" i="5"/>
  <c r="N31" i="5"/>
  <c r="P31" i="5"/>
  <c r="R31" i="5"/>
  <c r="T31" i="5"/>
  <c r="V31" i="5"/>
  <c r="D33" i="5"/>
  <c r="F33" i="5"/>
  <c r="H33" i="5"/>
  <c r="J33" i="5"/>
  <c r="L33" i="5"/>
  <c r="N33" i="5"/>
  <c r="P33" i="5"/>
  <c r="R33" i="5"/>
  <c r="T33" i="5"/>
  <c r="V33" i="5"/>
  <c r="D35" i="5"/>
  <c r="F35" i="5"/>
  <c r="H35" i="5"/>
  <c r="J35" i="5"/>
  <c r="L35" i="5"/>
  <c r="N35" i="5"/>
  <c r="P35" i="5"/>
  <c r="R35" i="5"/>
  <c r="T35" i="5"/>
  <c r="V35" i="5"/>
  <c r="D37" i="5"/>
  <c r="F37" i="5"/>
  <c r="H37" i="5"/>
  <c r="J37" i="5"/>
  <c r="L37" i="5"/>
  <c r="N37" i="5"/>
  <c r="P37" i="5"/>
  <c r="R37" i="5"/>
  <c r="T37" i="5"/>
  <c r="V37" i="5"/>
  <c r="D39" i="5"/>
  <c r="F39" i="5"/>
  <c r="H39" i="5"/>
  <c r="J39" i="5"/>
  <c r="L39" i="5"/>
  <c r="N39" i="5"/>
  <c r="P39" i="5"/>
  <c r="R39" i="5"/>
  <c r="T39" i="5"/>
  <c r="V39" i="5"/>
  <c r="F23" i="5"/>
  <c r="H23" i="5"/>
  <c r="J23" i="5"/>
  <c r="L23" i="5"/>
  <c r="N23" i="5"/>
  <c r="P23" i="5"/>
  <c r="R23" i="5"/>
  <c r="T23" i="5"/>
  <c r="V23" i="5"/>
  <c r="D23" i="5"/>
  <c r="B37" i="7" l="1"/>
  <c r="B36" i="7"/>
  <c r="K14" i="7"/>
  <c r="A12" i="2" l="1"/>
  <c r="A18" i="2"/>
  <c r="A15" i="5"/>
  <c r="A14" i="5"/>
  <c r="A16" i="5" s="1"/>
  <c r="A10" i="5" l="1"/>
  <c r="K17" i="1" l="1"/>
  <c r="I12" i="1"/>
  <c r="A19" i="1" s="1"/>
  <c r="B14" i="2" l="1"/>
  <c r="B24" i="2"/>
  <c r="H36" i="1"/>
  <c r="D36" i="1"/>
  <c r="A37" i="1"/>
  <c r="A36" i="1"/>
  <c r="B37" i="1"/>
  <c r="B36" i="1"/>
  <c r="J36" i="1"/>
  <c r="J37" i="1"/>
  <c r="B21" i="1"/>
  <c r="B20" i="1"/>
  <c r="A18" i="1"/>
  <c r="A21" i="1"/>
  <c r="I36" i="1" s="1"/>
  <c r="H37" i="1"/>
  <c r="C36" i="1"/>
  <c r="D97" i="2"/>
  <c r="E97" i="2"/>
  <c r="B20" i="2"/>
  <c r="A20" i="2" s="1"/>
  <c r="B21" i="2"/>
  <c r="A21" i="2" s="1"/>
  <c r="A13" i="2"/>
  <c r="I14" i="1"/>
  <c r="C63" i="2"/>
  <c r="C62" i="2"/>
  <c r="B90" i="2"/>
  <c r="B15" i="2" s="1"/>
  <c r="A15" i="2" s="1"/>
  <c r="A7" i="2"/>
  <c r="B92" i="2" s="1"/>
  <c r="A8" i="2"/>
  <c r="B34" i="2" s="1"/>
  <c r="A6" i="2"/>
  <c r="B35" i="2" s="1"/>
  <c r="C29" i="2"/>
  <c r="C28" i="2"/>
  <c r="C61" i="2"/>
  <c r="B61" i="2" s="1"/>
  <c r="C60" i="2"/>
  <c r="C64" i="2" s="1"/>
  <c r="B60" i="2"/>
  <c r="A19" i="2"/>
  <c r="B59" i="2"/>
  <c r="A24" i="2" l="1"/>
  <c r="J14" i="1"/>
  <c r="A14" i="2"/>
  <c r="B25" i="2"/>
  <c r="A25" i="2" s="1"/>
  <c r="B16" i="2"/>
  <c r="A16" i="2" s="1"/>
  <c r="B36" i="2"/>
  <c r="B31" i="2"/>
  <c r="B30" i="2"/>
  <c r="B63" i="2"/>
  <c r="B17" i="2"/>
  <c r="A17" i="2" s="1"/>
  <c r="B64" i="2"/>
  <c r="B91" i="2"/>
  <c r="B22" i="2"/>
  <c r="A22" i="2" s="1"/>
  <c r="C94" i="2"/>
  <c r="C95" i="2" s="1"/>
  <c r="B93" i="2"/>
  <c r="D37" i="1" l="1"/>
  <c r="B46" i="2" s="1"/>
  <c r="E37" i="1"/>
  <c r="B10" i="2"/>
  <c r="A10" i="2" s="1"/>
  <c r="B62" i="2"/>
  <c r="B83" i="2"/>
  <c r="B84" i="2"/>
  <c r="B11" i="2"/>
  <c r="A11" i="2" s="1"/>
  <c r="B32" i="2"/>
  <c r="B33" i="2"/>
  <c r="E36" i="1" l="1"/>
  <c r="G37" i="1"/>
  <c r="G36" i="1" s="1"/>
  <c r="F37" i="1"/>
  <c r="B42" i="2"/>
  <c r="B44" i="2"/>
  <c r="B74" i="2"/>
  <c r="B78" i="2" s="1"/>
  <c r="C43" i="2" l="1"/>
  <c r="C53" i="2" s="1"/>
  <c r="F36" i="1"/>
  <c r="C77" i="2"/>
  <c r="C68" i="2" s="1"/>
  <c r="C46" i="2"/>
  <c r="C56" i="2" s="1"/>
  <c r="B56" i="2" s="1"/>
  <c r="B77" i="2"/>
  <c r="C76" i="2"/>
  <c r="B76" i="2" s="1"/>
  <c r="C42" i="2"/>
  <c r="C52" i="2" s="1"/>
  <c r="B52" i="2" s="1"/>
  <c r="B43" i="2"/>
  <c r="C45" i="2"/>
  <c r="C55" i="2" s="1"/>
  <c r="B23" i="2"/>
  <c r="A23" i="2" s="1"/>
  <c r="B45" i="2"/>
  <c r="C44" i="2"/>
  <c r="C54" i="2" s="1"/>
  <c r="B54" i="2" s="1"/>
  <c r="C74" i="2"/>
  <c r="C78" i="2" s="1"/>
  <c r="C69" i="2" s="1"/>
  <c r="C67" i="2"/>
  <c r="B53" i="2" l="1"/>
  <c r="B67" i="2"/>
  <c r="A9" i="2"/>
  <c r="B55" i="2"/>
  <c r="C75" i="2"/>
  <c r="C66" i="2" s="1"/>
  <c r="C65" i="2"/>
  <c r="B65" i="2" s="1"/>
  <c r="B69" i="2"/>
  <c r="B68" i="2"/>
  <c r="A40" i="1" l="1"/>
  <c r="A97" i="2"/>
  <c r="E28" i="2"/>
  <c r="D36" i="2"/>
  <c r="D65" i="2"/>
  <c r="E56" i="2"/>
  <c r="E91" i="2"/>
  <c r="D94" i="2"/>
  <c r="E66" i="2"/>
  <c r="D62" i="2"/>
  <c r="D74" i="2"/>
  <c r="D59" i="2"/>
  <c r="A96" i="2"/>
  <c r="A65" i="2"/>
  <c r="E67" i="2"/>
  <c r="D54" i="2"/>
  <c r="A88" i="2"/>
  <c r="D95" i="2"/>
  <c r="D89" i="2"/>
  <c r="D93" i="2"/>
  <c r="A94" i="2"/>
  <c r="D91" i="2"/>
  <c r="E69" i="2"/>
  <c r="D92" i="2"/>
  <c r="E43" i="2"/>
  <c r="E44" i="2"/>
  <c r="D53" i="2"/>
  <c r="D35" i="2"/>
  <c r="E62" i="2"/>
  <c r="E88" i="2"/>
  <c r="D86" i="2"/>
  <c r="A42" i="2"/>
  <c r="D64" i="2"/>
  <c r="D85" i="2"/>
  <c r="A83" i="2"/>
  <c r="D30" i="2"/>
  <c r="E31" i="2"/>
  <c r="E90" i="2"/>
  <c r="E83" i="2"/>
  <c r="D32" i="2"/>
  <c r="D83" i="2"/>
  <c r="A61" i="2"/>
  <c r="D90" i="2"/>
  <c r="D67" i="2"/>
  <c r="E36" i="2"/>
  <c r="D68" i="2"/>
  <c r="D63" i="2"/>
  <c r="E63" i="2"/>
  <c r="D56" i="2"/>
  <c r="E30" i="2"/>
  <c r="D96" i="2"/>
  <c r="E42" i="2"/>
  <c r="E29" i="2"/>
  <c r="E87" i="2"/>
  <c r="E92" i="2"/>
  <c r="D45" i="2"/>
  <c r="E96" i="2"/>
  <c r="A92" i="2"/>
  <c r="D58" i="2"/>
  <c r="D69" i="2"/>
  <c r="A52" i="2"/>
  <c r="E54" i="2"/>
  <c r="E84" i="2"/>
  <c r="E64" i="2"/>
  <c r="D57" i="2"/>
  <c r="E58" i="2"/>
  <c r="A86" i="2"/>
  <c r="A57" i="2"/>
  <c r="E52" i="2"/>
  <c r="D44" i="2"/>
  <c r="E45" i="2"/>
  <c r="E34" i="2"/>
  <c r="D31" i="2"/>
  <c r="E32" i="2"/>
  <c r="D42" i="2"/>
  <c r="A28" i="2"/>
  <c r="A30" i="2"/>
  <c r="A85" i="2"/>
  <c r="E86" i="2"/>
  <c r="E93" i="2"/>
  <c r="D29" i="2"/>
  <c r="E94" i="2"/>
  <c r="A84" i="2"/>
  <c r="E53" i="2"/>
  <c r="E68" i="2"/>
  <c r="E59" i="2"/>
  <c r="E76" i="2"/>
  <c r="E57" i="2"/>
  <c r="D78" i="2"/>
  <c r="A89" i="2"/>
  <c r="D28" i="2"/>
  <c r="E46" i="2"/>
  <c r="D43" i="2"/>
  <c r="D84" i="2"/>
  <c r="D61" i="2"/>
  <c r="E33" i="2"/>
  <c r="A87" i="2"/>
  <c r="E55" i="2"/>
  <c r="D52" i="2"/>
  <c r="A90" i="2"/>
  <c r="D60" i="2"/>
  <c r="D34" i="2"/>
  <c r="E95" i="2"/>
  <c r="D33" i="2"/>
  <c r="A35" i="2"/>
  <c r="E61" i="2"/>
  <c r="E77" i="2"/>
  <c r="D46" i="2"/>
  <c r="E89" i="2"/>
  <c r="A74" i="2"/>
  <c r="D88" i="2"/>
  <c r="E85" i="2"/>
  <c r="D87" i="2"/>
  <c r="E60" i="2"/>
  <c r="E35" i="2"/>
  <c r="E74" i="2"/>
  <c r="D76" i="2"/>
  <c r="E78" i="2"/>
  <c r="D55" i="2"/>
  <c r="E65" i="2"/>
  <c r="B75" i="2"/>
  <c r="B66" i="2" s="1"/>
  <c r="D66" i="2" s="1"/>
  <c r="E75" i="2"/>
  <c r="D77" i="2"/>
  <c r="D75" i="2" l="1"/>
</calcChain>
</file>

<file path=xl/comments1.xml><?xml version="1.0" encoding="utf-8"?>
<comments xmlns="http://schemas.openxmlformats.org/spreadsheetml/2006/main">
  <authors>
    <author xml:space="preserve"> Matt Luker</author>
  </authors>
  <commentList>
    <comment ref="B11" authorId="0" shapeId="0">
      <text>
        <r>
          <rPr>
            <b/>
            <sz val="9"/>
            <color indexed="81"/>
            <rFont val="Tahoma"/>
            <family val="2"/>
          </rPr>
          <t xml:space="preserve"> Matt Luker:</t>
        </r>
        <r>
          <rPr>
            <sz val="9"/>
            <color indexed="81"/>
            <rFont val="Tahoma"/>
            <family val="2"/>
          </rPr>
          <t xml:space="preserve">
For AWS, we do NOT assume that 85th-%ile speed is higher than posted speed; this could result in a shorter-than-desired Lead Flash Time since, unlike yellow change, LFT </t>
        </r>
        <r>
          <rPr>
            <i/>
            <sz val="9"/>
            <color indexed="81"/>
            <rFont val="Tahoma"/>
            <family val="2"/>
          </rPr>
          <t>decreases</t>
        </r>
        <r>
          <rPr>
            <sz val="9"/>
            <color indexed="81"/>
            <rFont val="Tahoma"/>
            <family val="2"/>
          </rPr>
          <t xml:space="preserve"> as speed increases</t>
        </r>
      </text>
    </comment>
    <comment ref="B19" authorId="0" shapeId="0">
      <text>
        <r>
          <rPr>
            <sz val="9"/>
            <color indexed="81"/>
            <rFont val="Tahoma"/>
            <family val="2"/>
          </rPr>
          <t xml:space="preserve">Formula is based on a linear regression of plots of 85th-%ile Speed vs. Min ETA - 1s (assumed passage time) from </t>
        </r>
        <r>
          <rPr>
            <i/>
            <sz val="9"/>
            <color indexed="81"/>
            <rFont val="Tahoma"/>
            <family val="2"/>
          </rPr>
          <t>Radar Advance Extended Range Setup Procedures 12-7-12</t>
        </r>
      </text>
    </comment>
    <comment ref="B20" authorId="0" shapeId="0">
      <text>
        <r>
          <rPr>
            <sz val="9"/>
            <color indexed="81"/>
            <rFont val="Tahoma"/>
            <family val="2"/>
          </rPr>
          <t xml:space="preserve">Formula is based on a linear regression of plots of 85th-%ile Speed vs. Max ETA from </t>
        </r>
        <r>
          <rPr>
            <i/>
            <sz val="9"/>
            <color indexed="81"/>
            <rFont val="Tahoma"/>
            <family val="2"/>
          </rPr>
          <t>Radar Advance Extended Range Setup Procedures 12-7-12</t>
        </r>
      </text>
    </comment>
    <comment ref="B21" authorId="0" shapeId="0">
      <text>
        <r>
          <rPr>
            <sz val="9"/>
            <color indexed="81"/>
            <rFont val="Tahoma"/>
            <family val="2"/>
          </rPr>
          <t xml:space="preserve">Formula is based on a linear regression of plots of 85th-%ile Speed vs. Max ETA from </t>
        </r>
        <r>
          <rPr>
            <i/>
            <sz val="9"/>
            <color indexed="81"/>
            <rFont val="Tahoma"/>
            <family val="2"/>
          </rPr>
          <t>Radar Advance Extended Range Setup Procedures 12-7-12</t>
        </r>
      </text>
    </comment>
    <comment ref="B26" authorId="0" shapeId="0">
      <text>
        <r>
          <rPr>
            <sz val="9"/>
            <color indexed="81"/>
            <rFont val="Tahoma"/>
            <family val="2"/>
          </rPr>
          <t>Method of using 85th-%ile speed -21mph to approximate 15th-%ile speed is from Dr. Carroll Messer</t>
        </r>
      </text>
    </comment>
    <comment ref="C36" authorId="0" shapeId="0">
      <text>
        <r>
          <rPr>
            <sz val="9"/>
            <color indexed="81"/>
            <rFont val="Tahoma"/>
            <family val="2"/>
          </rPr>
          <t>With Advance Extended Range, set priority Discovery Range based on the location where trucks are detected but cars are not</t>
        </r>
      </text>
    </comment>
    <comment ref="D37" authorId="0" shapeId="0">
      <text>
        <r>
          <rPr>
            <b/>
            <sz val="8"/>
            <color indexed="81"/>
            <rFont val="Tahoma"/>
            <family val="2"/>
          </rPr>
          <t xml:space="preserve"> Matt Luker:
</t>
        </r>
        <r>
          <rPr>
            <sz val="8"/>
            <color indexed="81"/>
            <rFont val="Tahoma"/>
            <family val="2"/>
          </rPr>
          <t>As close to stop bar as possible within radar coverage</t>
        </r>
      </text>
    </comment>
    <comment ref="E37" authorId="0" shapeId="0">
      <text>
        <r>
          <rPr>
            <b/>
            <sz val="8"/>
            <color indexed="81"/>
            <rFont val="Tahoma"/>
            <family val="2"/>
          </rPr>
          <t xml:space="preserve"> Matt Luker:</t>
        </r>
        <r>
          <rPr>
            <sz val="8"/>
            <color indexed="81"/>
            <rFont val="Tahoma"/>
            <family val="2"/>
          </rPr>
          <t xml:space="preserve">
As far back as possible within radar coverage</t>
        </r>
      </text>
    </comment>
    <comment ref="F37" authorId="0" shapeId="0">
      <text>
        <r>
          <rPr>
            <b/>
            <sz val="8"/>
            <color indexed="81"/>
            <rFont val="Tahoma"/>
            <family val="2"/>
          </rPr>
          <t xml:space="preserve"> Matt Luker:</t>
        </r>
        <r>
          <rPr>
            <sz val="8"/>
            <color indexed="81"/>
            <rFont val="Tahoma"/>
            <family val="2"/>
          </rPr>
          <t xml:space="preserve">
Calculated based on "Near" distance and Min ETA setting</t>
        </r>
      </text>
    </comment>
    <comment ref="G37" authorId="0" shapeId="0">
      <text>
        <r>
          <rPr>
            <b/>
            <sz val="8"/>
            <color indexed="81"/>
            <rFont val="Tahoma"/>
            <family val="2"/>
          </rPr>
          <t xml:space="preserve"> Matt Luker:</t>
        </r>
        <r>
          <rPr>
            <sz val="8"/>
            <color indexed="81"/>
            <rFont val="Tahoma"/>
            <family val="2"/>
          </rPr>
          <t xml:space="preserve">
Calculated based on "Far" distance and max ETA setting</t>
        </r>
      </text>
    </comment>
  </commentList>
</comments>
</file>

<file path=xl/sharedStrings.xml><?xml version="1.0" encoding="utf-8"?>
<sst xmlns="http://schemas.openxmlformats.org/spreadsheetml/2006/main" count="223" uniqueCount="145">
  <si>
    <t xml:space="preserve">  </t>
  </si>
  <si>
    <t>Min</t>
  </si>
  <si>
    <t>Max</t>
  </si>
  <si>
    <t xml:space="preserve">Min </t>
  </si>
  <si>
    <t>Near</t>
  </si>
  <si>
    <t>Far</t>
  </si>
  <si>
    <t>Notes</t>
  </si>
  <si>
    <t>X</t>
  </si>
  <si>
    <t>Y</t>
  </si>
  <si>
    <t>Distance between stop bar and AWS, ft</t>
  </si>
  <si>
    <t>Field Measurements and Controller Settings</t>
  </si>
  <si>
    <t>Assumptions</t>
  </si>
  <si>
    <t>Minimum distance from AWS at which it is "perceivable" (recommend 70 ft, from BYU study)</t>
  </si>
  <si>
    <t>General Calculations</t>
  </si>
  <si>
    <r>
      <t xml:space="preserve">Distance from </t>
    </r>
    <r>
      <rPr>
        <i/>
        <sz val="10"/>
        <rFont val="Arial"/>
        <family val="2"/>
      </rPr>
      <t>stop bar</t>
    </r>
    <r>
      <rPr>
        <sz val="10"/>
        <rFont val="Arial"/>
        <family val="2"/>
      </rPr>
      <t xml:space="preserve"> at which AWS can be "perceived"</t>
    </r>
  </si>
  <si>
    <t>Series Name</t>
  </si>
  <si>
    <t>This sheet contains calculations for drawing the diagram.  DO NOT MAKE CHANGES on this sheet.</t>
  </si>
  <si>
    <t>Distance from stop bar to radar unit</t>
  </si>
  <si>
    <t>Minimum distance from AWS at which it is "legible" (recommend 125 ft, from BYU study)</t>
  </si>
  <si>
    <r>
      <t xml:space="preserve">Distance from </t>
    </r>
    <r>
      <rPr>
        <i/>
        <sz val="10"/>
        <rFont val="Arial"/>
        <family val="2"/>
      </rPr>
      <t>stop bar</t>
    </r>
    <r>
      <rPr>
        <sz val="10"/>
        <rFont val="Arial"/>
        <family val="2"/>
      </rPr>
      <t xml:space="preserve"> at which AWS can be "read"</t>
    </r>
  </si>
  <si>
    <t>Settings in Wavetronix Radar</t>
  </si>
  <si>
    <t>Recommended:</t>
  </si>
  <si>
    <t>Perception-reaction time, s (typically 3.0)</t>
  </si>
  <si>
    <t>Deceleration Rate, ft/s/s (typically 10.0)</t>
  </si>
  <si>
    <t>"AWS Design Speed" = 85th-%ile speed - adjustment factor (typically 10mph, set in Worksheet)</t>
  </si>
  <si>
    <t>Channel 1</t>
  </si>
  <si>
    <t>&lt;-- Shows number of "Err"s on this sheet; if non-zero, diagram will not be drawn</t>
  </si>
  <si>
    <t xml:space="preserve">-Diagram cannot be drawn if leading edge of radar coverage is not beyond AWS Perceivable distance.  </t>
  </si>
  <si>
    <t xml:space="preserve">-AWS must be located in advance of stop bar.  </t>
  </si>
  <si>
    <t xml:space="preserve">-AWS perceivable distance must be greater than zero.  </t>
  </si>
  <si>
    <t xml:space="preserve">-AWS legible distance must be at least as great as perceivable distance.  </t>
  </si>
  <si>
    <t xml:space="preserve">-85th-%ile speed must be at least 30mph.  </t>
  </si>
  <si>
    <t xml:space="preserve">-85th-%ile speed must be no greater than 100mph.  </t>
  </si>
  <si>
    <t xml:space="preserve">-Calculated AWS design speed must be at least minimum speed of radar capability (assumed 3mph).  </t>
  </si>
  <si>
    <t xml:space="preserve">-Calculated AWS design speed must be no greater than 100mph.  </t>
  </si>
  <si>
    <t>Radar Coverage</t>
  </si>
  <si>
    <t>"Accurate Diagram Cannot Be Drawn"</t>
  </si>
  <si>
    <t>Ch. 2</t>
  </si>
  <si>
    <t>↓ AWS Perceivable ↓</t>
  </si>
  <si>
    <t>Decision Dilemma Zone</t>
  </si>
  <si>
    <t>Decision Dilemma Zone - Onset of Yellow</t>
  </si>
  <si>
    <t>Dashed lines show locations at onset of yellow</t>
  </si>
  <si>
    <t>AWS</t>
  </si>
  <si>
    <t>↓ AWS Legible ↓</t>
  </si>
  <si>
    <t>AWS at xxx feet</t>
  </si>
  <si>
    <t>x.xs Lead Flash Time</t>
  </si>
  <si>
    <t>xs Phase Extension</t>
  </si>
  <si>
    <t>Decision Dilemma Zone from x.xs to x.xs</t>
  </si>
  <si>
    <t>AWS Design Speed (xxmph)</t>
  </si>
  <si>
    <t>85th-%ile Speed (xxmph)</t>
  </si>
  <si>
    <t>&lt;-- In diagram below, show only vehicle locations at onset of AWS (gap-out).  If left blank, locations will also be shown at onset of yellow.</t>
  </si>
  <si>
    <t xml:space="preserve">-Decision Dilemma Zone minimum boundary must be at least 0.1s less than maximum boundary.  </t>
  </si>
  <si>
    <t>Solid lines show locations at onset of AWS (gap-out)</t>
  </si>
  <si>
    <t>Difference between 85th-%ile speed and AWS design speed (positive means design speed is lower than 85th-%ile), mph (typically 10)</t>
  </si>
  <si>
    <t>Protection Zone (if no max-out)</t>
  </si>
  <si>
    <t>Prediction Zone (if no max-out)</t>
  </si>
  <si>
    <t>Combination</t>
  </si>
  <si>
    <t>AWS on Approach 1?</t>
  </si>
  <si>
    <t>AWS on Approach 2?</t>
  </si>
  <si>
    <t>Left Turn Type Approach 1</t>
  </si>
  <si>
    <t>Left Turn Type Approach 2</t>
  </si>
  <si>
    <t>Yes</t>
  </si>
  <si>
    <t>B</t>
  </si>
  <si>
    <t>A</t>
  </si>
  <si>
    <t>No</t>
  </si>
  <si>
    <t>Requirements for an intersection with these parameters:</t>
  </si>
  <si>
    <t>Approach 2 MUST have a "dummy" lead flash time equal to that on Approach 1, to avoid a yellow trap.  Detection for Approach 2 MUST be placed the same distance from the stop-bar as that for Approach 1, or detected gaps will be past the stop-bar before signal actually changes.</t>
  </si>
  <si>
    <t>Generally the same as combination 3 above.  "Dummy" lead flash time for Approach 2 must not be longer than lead flash time for Approach 1 or yellow trap will result.  (A longer "dummy" time would serve no useful purpose, anyway.)</t>
  </si>
  <si>
    <t>Ideally, lead flash time for both approaches should be the same.  Consequently, AWS and detection placement should be the same for both approaches.  However, if necessary (e.g., because of grade) each AWS can be placed and programmed individually.  The result will be a longer red clearance on the approach with the shorter lead flash time.</t>
  </si>
  <si>
    <t>Ideally, Approach 2 will have a "dummy" lead flash time equal to that of Approach 1, to avoid wasted dwell-red time in one direction at the intersection.  Consequently, detection for Approach 2 should be placed the same distance back from the stop-bar as that for Approach 1, even though Approach 2 has no AWS.  If detection cannot be placed at this distance, the "dummy" lead flash time for Approach 2 can be reduced or left out, and there will be a longer red clearance time for that approach.</t>
  </si>
  <si>
    <t xml:space="preserve">-Lead flash time must be greater than 0.  </t>
  </si>
  <si>
    <t xml:space="preserve">Left Turn Type "A" means that the approach has one of the following left-turn treatments susceptible to yellow trap:
     Permissive-only with Type I head
     Protected/Permissive with Type V head
Left Turn Type "B" means that the approach has one of the following left-turn treatments not susceptible to yellow trap:
     Protected-only (i.e., Type III heads)
     Protected/Permissive with Flashing Yellow Arrow (i.e., Type VI)
     Permissive-only but using Flashing Yellow Arrow (i.e., 3-section without green arrow)
     Approach is one-way, with no opposing traffic lanes
     Left turns are prohibited or physically impossible
</t>
  </si>
  <si>
    <t>User Inputs</t>
  </si>
  <si>
    <t>Outputs</t>
  </si>
  <si>
    <t>Changeable Assumptions</t>
  </si>
  <si>
    <t>Intermediate Calculations</t>
  </si>
  <si>
    <t>Maximum distance from radar unit at which vehicles can be detected (typ. up to 600 feet for legacy Advance unit; 900 feet for Extended Range)</t>
  </si>
  <si>
    <t>Place an "x" here if approach has Advance Extended Range; leave blank for legacy Advance</t>
  </si>
  <si>
    <t>Advance Warning Sign Lead Flash Time, s</t>
  </si>
  <si>
    <t>Radar offset from AWS pole, ft (positive means farther from stop bar; typically 0 when radar is mounted on AWS pole)</t>
  </si>
  <si>
    <t>Phase passage/vehicle extension time, s (determine using length of detection zone vs. speed)</t>
  </si>
  <si>
    <t>15th-Percentile Speed, mph (if known, leave as "0" or blank if unknown)</t>
  </si>
  <si>
    <t>15th-%ile speed used in calculations</t>
  </si>
  <si>
    <t>Difference between 15th-%ile speed and 85th-%ile speed (typically +21; used only if 15th-%ile is not directly entered above)</t>
  </si>
  <si>
    <t>Lower boundary of Decision Dilemma Zone, s</t>
  </si>
  <si>
    <t>Signal Number:</t>
  </si>
  <si>
    <t>Initials:</t>
  </si>
  <si>
    <t>Date:</t>
  </si>
  <si>
    <t>Location:</t>
  </si>
  <si>
    <t>UDOT Advance Warning System Timing Worksheet</t>
  </si>
  <si>
    <t>xxxxx Advance Radar Unit at xxx feet</t>
  </si>
  <si>
    <t>(Unused Cells)</t>
  </si>
  <si>
    <t>OK</t>
  </si>
  <si>
    <t>(Unused check for detector extension)</t>
  </si>
  <si>
    <t>Channel 1 Type</t>
  </si>
  <si>
    <t>Speed (mph)</t>
  </si>
  <si>
    <t>ETA (s)</t>
  </si>
  <si>
    <t>Range (ft)</t>
  </si>
  <si>
    <t>N/A</t>
  </si>
  <si>
    <t>-Not enough radar coverage to track vehicles through entire dilemma zone at any speed</t>
  </si>
  <si>
    <t xml:space="preserve">-Diagram cannot be drawn if leading edge of radar coverage is more than 1600 feet from stop bar.  </t>
  </si>
  <si>
    <t>Range of Legacy Wavetronix Advance, ft (typically 600) - Reduce if aiming shortens effective range</t>
  </si>
  <si>
    <t>Range of Wavetronix Advance Extended Range, ft (typically 900) - Reduce if aiming shortens effective range</t>
  </si>
  <si>
    <t>Desired Lead Flash Time, s</t>
  </si>
  <si>
    <t>Setback Distance Required</t>
  </si>
  <si>
    <t>15th-%ile Speed, mph</t>
  </si>
  <si>
    <t>Min ETA, s</t>
  </si>
  <si>
    <t>Difference between 85th-%ile and 15th-%ile speed, mph (typically 21)</t>
  </si>
  <si>
    <t>Difference between 85th-%ile and AWS Design speed, mph (typically 10)</t>
  </si>
  <si>
    <t>AWS Design Speed, mph</t>
  </si>
  <si>
    <t>Distance from AWS at which it is perceivable, ft (typically 70)</t>
  </si>
  <si>
    <t>UDOT Advance Warning System Design</t>
  </si>
  <si>
    <t>Use this form to determine the setback of an AWS for a given speed and desired Lead Flash Time.</t>
  </si>
  <si>
    <t>Speed, mph</t>
  </si>
  <si>
    <t>-Phase passage time must be less than difference between upper and lower dilemma zone boundaries.</t>
  </si>
  <si>
    <t>Discovery Range ≥(ft)</t>
  </si>
  <si>
    <t>Direction:</t>
  </si>
  <si>
    <t>LFT, s</t>
  </si>
  <si>
    <t>Generally the same as combination 4 above.  Lead flash times may be different if absolutely necessary, provided that the "dummy" lead flash time for Approach 2 is at least as long as the lead flash time for Approach 1.  Otherwise a yellow trap will result.</t>
  </si>
  <si>
    <t>Generally the same as combination 2 above.  Lead flash times may be different if absolutely necessary, provided that the lead flash time for Approach 2 is at least as long as that for Approach 1.  Otherwise a yellow trap will result.</t>
  </si>
  <si>
    <t>Advance Warning System Design - Important considerations to avoid yellow trap</t>
  </si>
  <si>
    <t>(Unused check for grade)</t>
  </si>
  <si>
    <t xml:space="preserve">-User must enter a value for phase passage time.  </t>
  </si>
  <si>
    <r>
      <rPr>
        <b/>
        <sz val="10"/>
        <rFont val="Calibri"/>
        <family val="2"/>
        <scheme val="minor"/>
      </rPr>
      <t xml:space="preserve">Lead flash time </t>
    </r>
    <r>
      <rPr>
        <b/>
        <u/>
        <sz val="10"/>
        <rFont val="Calibri"/>
        <family val="2"/>
        <scheme val="minor"/>
      </rPr>
      <t>MUST</t>
    </r>
    <r>
      <rPr>
        <b/>
        <sz val="10"/>
        <rFont val="Calibri"/>
        <family val="2"/>
        <scheme val="minor"/>
      </rPr>
      <t xml:space="preserve"> be the same for both approaches</t>
    </r>
    <r>
      <rPr>
        <sz val="10"/>
        <rFont val="Calibri"/>
        <family val="2"/>
        <scheme val="minor"/>
      </rPr>
      <t xml:space="preserve"> or yellow trap will result.  Consequently, AWS and detection placement should be the same for both approaches.</t>
    </r>
  </si>
  <si>
    <r>
      <t xml:space="preserve">Chart of </t>
    </r>
    <r>
      <rPr>
        <b/>
        <u/>
        <sz val="11"/>
        <color theme="0"/>
        <rFont val="Century Gothic"/>
        <family val="2"/>
      </rPr>
      <t>required setback in ft</t>
    </r>
    <r>
      <rPr>
        <b/>
        <sz val="11"/>
        <color theme="0"/>
        <rFont val="Century Gothic"/>
        <family val="2"/>
      </rPr>
      <t xml:space="preserve"> for a given speed and LFT using typical assumptions above</t>
    </r>
  </si>
  <si>
    <t>Posted Speed Limit, mph</t>
  </si>
  <si>
    <t>85th-Percentile Speed, mph (if known, leave as "0" or blank if unknown)</t>
  </si>
  <si>
    <t>85th-%ile speed used in calculations</t>
  </si>
  <si>
    <t>Calculated AWS Design Speed</t>
  </si>
  <si>
    <t>Phase passage/vehicle extension time, s (obtain from UDOT Detection Form - based on speed and detector length)</t>
  </si>
  <si>
    <t>Lesser of 85th-Percentile Speed or Posted Speed Limit, mph</t>
  </si>
  <si>
    <t>Worksheet Revision:  4/10/2019 by MDL</t>
  </si>
  <si>
    <t>Vehicle Location at Yellow Onset</t>
  </si>
  <si>
    <t>Upper boundary of Decision Dilemma Zone, s (for cars when using legacy Advance)</t>
  </si>
  <si>
    <t>Upper boundary of Decision Dilemma Zone for trucks, s (not used when using legacy Advance)</t>
  </si>
  <si>
    <t>Trucks (Extended Range), Not Used with legacy Advance</t>
  </si>
  <si>
    <t>Cars (Extended Range), All Vehicles with legacy Advance</t>
  </si>
  <si>
    <r>
      <t xml:space="preserve">Worksheet Revision:  4/10/2019 by MDL - </t>
    </r>
    <r>
      <rPr>
        <b/>
        <sz val="8"/>
        <rFont val="Century Gothic"/>
        <family val="2"/>
      </rPr>
      <t>This BLANK FORM can be filled out in field and left in the cabinet</t>
    </r>
  </si>
  <si>
    <t>Notes:</t>
  </si>
  <si>
    <t>Matt Luker</t>
  </si>
  <si>
    <t>Date</t>
  </si>
  <si>
    <t>Name</t>
  </si>
  <si>
    <t>Changes Made</t>
  </si>
  <si>
    <t>For sites with legacy Advance, form now uses the lower "cars" max dilemma zone boundary (instead of "trucks") for snappier operation.</t>
  </si>
  <si>
    <t>4/10/2019 by MDL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</si>
</sst>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7" x14ac:knownFonts="1">
    <font>
      <sz val="10"/>
      <name val="Arial"/>
    </font>
    <font>
      <sz val="8"/>
      <name val="Arial"/>
      <family val="2"/>
    </font>
    <font>
      <sz val="10"/>
      <name val="Arial"/>
      <family val="2"/>
    </font>
    <font>
      <sz val="10"/>
      <name val="Arial"/>
      <family val="2"/>
    </font>
    <font>
      <i/>
      <sz val="10"/>
      <name val="Arial"/>
      <family val="2"/>
    </font>
    <font>
      <u/>
      <sz val="10"/>
      <name val="Arial"/>
      <family val="2"/>
    </font>
    <font>
      <sz val="20"/>
      <name val="Arial"/>
      <family val="2"/>
    </font>
    <font>
      <b/>
      <sz val="8"/>
      <color indexed="81"/>
      <name val="Tahoma"/>
      <family val="2"/>
    </font>
    <font>
      <sz val="8"/>
      <color indexed="81"/>
      <name val="Tahoma"/>
      <family val="2"/>
    </font>
    <font>
      <sz val="9"/>
      <color indexed="81"/>
      <name val="Tahoma"/>
      <family val="2"/>
    </font>
    <font>
      <b/>
      <sz val="9"/>
      <color indexed="81"/>
      <name val="Tahoma"/>
      <family val="2"/>
    </font>
    <font>
      <i/>
      <sz val="9"/>
      <color indexed="81"/>
      <name val="Tahoma"/>
      <family val="2"/>
    </font>
    <font>
      <b/>
      <sz val="26"/>
      <color theme="0"/>
      <name val="Century Gothic"/>
      <family val="2"/>
    </font>
    <font>
      <sz val="8"/>
      <name val="Century Gothic"/>
      <family val="2"/>
    </font>
    <font>
      <sz val="11"/>
      <name val="Century Gothic"/>
      <family val="2"/>
    </font>
    <font>
      <sz val="10"/>
      <name val="Century Gothic"/>
      <family val="2"/>
    </font>
    <font>
      <b/>
      <sz val="10"/>
      <name val="Century Gothic"/>
      <family val="2"/>
    </font>
    <font>
      <b/>
      <sz val="11"/>
      <name val="Century Gothic"/>
      <family val="2"/>
    </font>
    <font>
      <u/>
      <sz val="11"/>
      <name val="Century Gothic"/>
      <family val="2"/>
    </font>
    <font>
      <b/>
      <sz val="12"/>
      <color rgb="FF0000FF"/>
      <name val="Century Gothic"/>
      <family val="2"/>
    </font>
    <font>
      <b/>
      <sz val="10"/>
      <color theme="0"/>
      <name val="Century Gothic"/>
      <family val="2"/>
    </font>
    <font>
      <sz val="9"/>
      <name val="Century Gothic"/>
      <family val="2"/>
    </font>
    <font>
      <b/>
      <sz val="14"/>
      <name val="Century Gothic"/>
      <family val="2"/>
    </font>
    <font>
      <sz val="7"/>
      <name val="Century Gothic"/>
      <family val="2"/>
    </font>
    <font>
      <b/>
      <sz val="8"/>
      <name val="Century Gothic"/>
      <family val="2"/>
    </font>
    <font>
      <b/>
      <sz val="11"/>
      <color theme="0"/>
      <name val="Century Gothic"/>
      <family val="2"/>
    </font>
    <font>
      <b/>
      <sz val="16"/>
      <name val="Century Gothic"/>
      <family val="2"/>
    </font>
    <font>
      <sz val="9"/>
      <name val="Calibri"/>
      <family val="2"/>
      <scheme val="minor"/>
    </font>
    <font>
      <b/>
      <sz val="10"/>
      <name val="Calibri"/>
      <family val="2"/>
      <scheme val="minor"/>
    </font>
    <font>
      <b/>
      <sz val="9"/>
      <color rgb="FFFFFF00"/>
      <name val="Calibri"/>
      <family val="2"/>
      <scheme val="minor"/>
    </font>
    <font>
      <sz val="10"/>
      <name val="Calibri"/>
      <family val="2"/>
      <scheme val="minor"/>
    </font>
    <font>
      <sz val="8"/>
      <name val="Calibri"/>
      <family val="2"/>
      <scheme val="minor"/>
    </font>
    <font>
      <sz val="11"/>
      <name val="Calibri"/>
      <family val="2"/>
      <scheme val="minor"/>
    </font>
    <font>
      <sz val="14"/>
      <name val="Calibri"/>
      <family val="2"/>
      <scheme val="minor"/>
    </font>
    <font>
      <b/>
      <u/>
      <sz val="10"/>
      <name val="Calibri"/>
      <family val="2"/>
      <scheme val="minor"/>
    </font>
    <font>
      <b/>
      <u/>
      <sz val="11"/>
      <color theme="0"/>
      <name val="Century Gothic"/>
      <family val="2"/>
    </font>
    <font>
      <b/>
      <sz val="9"/>
      <name val="Century Gothic"/>
      <family val="2"/>
    </font>
  </fonts>
  <fills count="12">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FFFF"/>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CC"/>
        <bgColor indexed="64"/>
      </patternFill>
    </fill>
  </fills>
  <borders count="50">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slantDashDot">
        <color indexed="64"/>
      </left>
      <right style="slantDashDot">
        <color indexed="64"/>
      </right>
      <top style="slantDashDot">
        <color indexed="64"/>
      </top>
      <bottom style="slantDashDot">
        <color indexed="64"/>
      </bottom>
      <diagonal/>
    </border>
    <border>
      <left/>
      <right style="thin">
        <color indexed="64"/>
      </right>
      <top style="thin">
        <color indexed="64"/>
      </top>
      <bottom/>
      <diagonal/>
    </border>
    <border>
      <left style="slantDashDot">
        <color indexed="64"/>
      </left>
      <right/>
      <top style="slantDashDot">
        <color indexed="64"/>
      </top>
      <bottom style="slantDashDot">
        <color indexed="64"/>
      </bottom>
      <diagonal/>
    </border>
    <border>
      <left/>
      <right style="thin">
        <color indexed="64"/>
      </right>
      <top/>
      <bottom style="thin">
        <color indexed="64"/>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thin">
        <color indexed="64"/>
      </left>
      <right style="double">
        <color indexed="64"/>
      </right>
      <top style="medium">
        <color indexed="64"/>
      </top>
      <bottom/>
      <diagonal/>
    </border>
    <border>
      <left style="thin">
        <color indexed="64"/>
      </left>
      <right style="double">
        <color indexed="64"/>
      </right>
      <top/>
      <bottom/>
      <diagonal/>
    </border>
    <border>
      <left/>
      <right style="double">
        <color indexed="64"/>
      </right>
      <top style="thin">
        <color indexed="64"/>
      </top>
      <bottom style="thin">
        <color indexed="64"/>
      </bottom>
      <diagonal/>
    </border>
    <border>
      <left style="slantDashDot">
        <color indexed="64"/>
      </left>
      <right/>
      <top style="slantDashDot">
        <color indexed="64"/>
      </top>
      <bottom/>
      <diagonal/>
    </border>
    <border>
      <left/>
      <right/>
      <top style="slantDashDot">
        <color indexed="64"/>
      </top>
      <bottom/>
      <diagonal/>
    </border>
    <border>
      <left/>
      <right style="slantDashDot">
        <color indexed="64"/>
      </right>
      <top style="slantDashDot">
        <color indexed="64"/>
      </top>
      <bottom/>
      <diagonal/>
    </border>
    <border>
      <left style="slantDashDot">
        <color indexed="64"/>
      </left>
      <right/>
      <top/>
      <bottom style="slantDashDot">
        <color indexed="64"/>
      </bottom>
      <diagonal/>
    </border>
    <border>
      <left/>
      <right/>
      <top/>
      <bottom style="slantDashDot">
        <color indexed="64"/>
      </bottom>
      <diagonal/>
    </border>
    <border>
      <left/>
      <right style="slantDashDot">
        <color indexed="64"/>
      </right>
      <top/>
      <bottom style="slantDashDot">
        <color indexed="64"/>
      </bottom>
      <diagonal/>
    </border>
    <border>
      <left style="thin">
        <color indexed="64"/>
      </left>
      <right style="slantDashDot">
        <color indexed="64"/>
      </right>
      <top/>
      <bottom/>
      <diagonal/>
    </border>
    <border>
      <left style="slantDashDot">
        <color indexed="64"/>
      </left>
      <right style="slantDashDot">
        <color indexed="64"/>
      </right>
      <top/>
      <bottom/>
      <diagonal/>
    </border>
    <border>
      <left/>
      <right style="thin">
        <color indexed="64"/>
      </right>
      <top style="medium">
        <color indexed="64"/>
      </top>
      <bottom/>
      <diagonal/>
    </border>
  </borders>
  <cellStyleXfs count="1">
    <xf numFmtId="0" fontId="0" fillId="0" borderId="0"/>
  </cellStyleXfs>
  <cellXfs count="254">
    <xf numFmtId="0" fontId="0" fillId="0" borderId="0" xfId="0"/>
    <xf numFmtId="0" fontId="2" fillId="0" borderId="0" xfId="0" applyFont="1" applyProtection="1"/>
    <xf numFmtId="0" fontId="2" fillId="0" borderId="0" xfId="0" quotePrefix="1" applyFont="1" applyProtection="1"/>
    <xf numFmtId="0" fontId="6" fillId="0" borderId="0" xfId="0" applyFont="1" applyProtection="1"/>
    <xf numFmtId="0" fontId="0" fillId="0" borderId="0" xfId="0" applyNumberFormat="1" applyProtection="1"/>
    <xf numFmtId="0" fontId="0" fillId="0" borderId="0" xfId="0" applyProtection="1"/>
    <xf numFmtId="0" fontId="2" fillId="0" borderId="3" xfId="0" applyFont="1" applyFill="1" applyBorder="1" applyAlignment="1" applyProtection="1">
      <alignment horizontal="center"/>
    </xf>
    <xf numFmtId="0" fontId="2" fillId="0" borderId="0" xfId="0" applyNumberFormat="1" applyFont="1" applyFill="1" applyProtection="1"/>
    <xf numFmtId="1" fontId="0" fillId="0" borderId="3" xfId="0" applyNumberFormat="1" applyBorder="1" applyAlignment="1" applyProtection="1">
      <alignment horizontal="center"/>
    </xf>
    <xf numFmtId="0" fontId="2" fillId="0" borderId="0" xfId="0" applyNumberFormat="1" applyFont="1" applyProtection="1"/>
    <xf numFmtId="0" fontId="2" fillId="0" borderId="0" xfId="0" quotePrefix="1" applyNumberFormat="1" applyFont="1" applyAlignment="1" applyProtection="1">
      <alignment horizontal="left"/>
    </xf>
    <xf numFmtId="0" fontId="0" fillId="0" borderId="0" xfId="0" applyNumberFormat="1" applyAlignment="1" applyProtection="1">
      <alignment horizontal="center"/>
    </xf>
    <xf numFmtId="0" fontId="3" fillId="0" borderId="0" xfId="0" applyNumberFormat="1" applyFont="1" applyBorder="1" applyAlignment="1" applyProtection="1">
      <alignment horizontal="center"/>
    </xf>
    <xf numFmtId="0" fontId="5" fillId="0" borderId="0" xfId="0" applyFont="1" applyProtection="1"/>
    <xf numFmtId="0" fontId="5" fillId="0" borderId="0" xfId="0" applyNumberFormat="1" applyFont="1" applyProtection="1"/>
    <xf numFmtId="14" fontId="0" fillId="0" borderId="0" xfId="0" applyNumberFormat="1" applyProtection="1"/>
    <xf numFmtId="0" fontId="0" fillId="0" borderId="3" xfId="0" applyBorder="1" applyProtection="1"/>
    <xf numFmtId="0" fontId="0" fillId="0" borderId="3" xfId="0" applyNumberFormat="1" applyBorder="1" applyProtection="1"/>
    <xf numFmtId="0" fontId="0" fillId="0" borderId="3" xfId="0" applyNumberFormat="1" applyFill="1" applyBorder="1" applyProtection="1"/>
    <xf numFmtId="0" fontId="0" fillId="0" borderId="3" xfId="0" applyFill="1" applyBorder="1" applyProtection="1"/>
    <xf numFmtId="0" fontId="2" fillId="0" borderId="0" xfId="0" applyFont="1" applyFill="1" applyProtection="1"/>
    <xf numFmtId="0" fontId="0" fillId="0" borderId="0" xfId="0" applyFill="1" applyProtection="1"/>
    <xf numFmtId="0" fontId="0" fillId="0" borderId="0" xfId="0" quotePrefix="1" applyFill="1" applyProtection="1"/>
    <xf numFmtId="1" fontId="3" fillId="0" borderId="3" xfId="0" applyNumberFormat="1" applyFont="1" applyBorder="1" applyAlignment="1" applyProtection="1">
      <alignment horizontal="center"/>
    </xf>
    <xf numFmtId="0" fontId="0" fillId="9" borderId="3" xfId="0" applyFill="1" applyBorder="1" applyProtection="1"/>
    <xf numFmtId="0" fontId="0" fillId="9" borderId="3" xfId="0" applyNumberFormat="1" applyFill="1" applyBorder="1" applyProtection="1"/>
    <xf numFmtId="0" fontId="2" fillId="9" borderId="0" xfId="0" applyNumberFormat="1" applyFont="1" applyFill="1" applyAlignment="1" applyProtection="1">
      <alignment horizontal="left"/>
    </xf>
    <xf numFmtId="0" fontId="0" fillId="0" borderId="23" xfId="0" applyNumberFormat="1" applyFill="1" applyBorder="1" applyProtection="1"/>
    <xf numFmtId="0" fontId="14" fillId="0" borderId="0" xfId="0" applyFont="1"/>
    <xf numFmtId="0" fontId="14" fillId="0" borderId="0" xfId="0" applyFont="1" applyFill="1" applyBorder="1"/>
    <xf numFmtId="0" fontId="14" fillId="0" borderId="0" xfId="0" applyFont="1" applyFill="1" applyBorder="1" applyAlignment="1"/>
    <xf numFmtId="164" fontId="17" fillId="0" borderId="0" xfId="0" applyNumberFormat="1" applyFont="1" applyFill="1" applyBorder="1" applyAlignment="1" applyProtection="1"/>
    <xf numFmtId="0" fontId="14" fillId="0" borderId="0" xfId="0" applyFont="1" applyAlignment="1" applyProtection="1"/>
    <xf numFmtId="0" fontId="14" fillId="0" borderId="0" xfId="0" applyFont="1" applyProtection="1"/>
    <xf numFmtId="0" fontId="15" fillId="0" borderId="0" xfId="0" applyFont="1" applyProtection="1"/>
    <xf numFmtId="0" fontId="15" fillId="0" borderId="0" xfId="0" applyFont="1" applyAlignment="1" applyProtection="1"/>
    <xf numFmtId="0" fontId="13" fillId="0" borderId="0" xfId="0" applyFont="1" applyAlignment="1" applyProtection="1"/>
    <xf numFmtId="0" fontId="15" fillId="0" borderId="0" xfId="0" applyFont="1" applyFill="1" applyAlignment="1" applyProtection="1"/>
    <xf numFmtId="0" fontId="15" fillId="0" borderId="0" xfId="0" applyFont="1" applyAlignment="1" applyProtection="1">
      <alignment horizontal="center"/>
    </xf>
    <xf numFmtId="0" fontId="15" fillId="0" borderId="0" xfId="0" quotePrefix="1" applyFont="1" applyAlignment="1" applyProtection="1"/>
    <xf numFmtId="0" fontId="15" fillId="0" borderId="13" xfId="0" applyFont="1" applyFill="1" applyBorder="1" applyAlignment="1" applyProtection="1">
      <alignment horizontal="center"/>
    </xf>
    <xf numFmtId="0" fontId="15" fillId="0" borderId="13" xfId="0" applyFont="1" applyFill="1" applyBorder="1" applyProtection="1"/>
    <xf numFmtId="0" fontId="15" fillId="0" borderId="0" xfId="0" applyFont="1" applyFill="1" applyProtection="1"/>
    <xf numFmtId="0" fontId="15" fillId="5" borderId="3" xfId="0" applyFont="1" applyFill="1" applyBorder="1" applyAlignment="1" applyProtection="1">
      <alignment horizontal="center"/>
      <protection locked="0"/>
    </xf>
    <xf numFmtId="0" fontId="15" fillId="0" borderId="0" xfId="0" applyFont="1" applyBorder="1" applyAlignment="1" applyProtection="1">
      <alignment horizontal="center"/>
    </xf>
    <xf numFmtId="0" fontId="15" fillId="0" borderId="0" xfId="0" quotePrefix="1" applyFont="1" applyBorder="1" applyAlignment="1" applyProtection="1">
      <alignment horizontal="left"/>
    </xf>
    <xf numFmtId="164" fontId="15" fillId="0" borderId="0" xfId="0" applyNumberFormat="1" applyFont="1" applyBorder="1" applyAlignment="1" applyProtection="1">
      <alignment horizontal="center"/>
    </xf>
    <xf numFmtId="0" fontId="15" fillId="0" borderId="0" xfId="0" quotePrefix="1" applyFont="1" applyProtection="1"/>
    <xf numFmtId="0" fontId="13" fillId="0" borderId="0" xfId="0" applyFont="1" applyFill="1" applyBorder="1" applyAlignment="1" applyProtection="1">
      <alignment horizontal="center"/>
    </xf>
    <xf numFmtId="0" fontId="15" fillId="0" borderId="0" xfId="0" applyFont="1" applyFill="1" applyBorder="1" applyAlignment="1" applyProtection="1"/>
    <xf numFmtId="0" fontId="16" fillId="0" borderId="0" xfId="0" applyFont="1" applyFill="1" applyBorder="1" applyAlignment="1" applyProtection="1">
      <alignment horizontal="center"/>
    </xf>
    <xf numFmtId="0" fontId="15" fillId="0" borderId="0" xfId="0" applyFont="1" applyFill="1" applyBorder="1" applyAlignment="1" applyProtection="1">
      <alignment horizontal="center"/>
    </xf>
    <xf numFmtId="0" fontId="15" fillId="0" borderId="0" xfId="0" applyFont="1" applyFill="1" applyBorder="1" applyProtection="1"/>
    <xf numFmtId="0" fontId="16" fillId="0" borderId="0" xfId="0" applyFont="1" applyFill="1" applyBorder="1" applyAlignment="1" applyProtection="1"/>
    <xf numFmtId="164" fontId="15" fillId="0" borderId="0" xfId="0" applyNumberFormat="1" applyFont="1" applyFill="1" applyBorder="1" applyAlignment="1" applyProtection="1">
      <alignment horizontal="center"/>
    </xf>
    <xf numFmtId="164" fontId="15" fillId="0" borderId="0" xfId="0" applyNumberFormat="1" applyFont="1" applyFill="1" applyBorder="1" applyProtection="1"/>
    <xf numFmtId="0" fontId="15" fillId="0" borderId="0" xfId="0" applyFont="1" applyFill="1" applyBorder="1" applyAlignment="1" applyProtection="1">
      <alignment horizontal="left"/>
    </xf>
    <xf numFmtId="0" fontId="15" fillId="0" borderId="0" xfId="0" applyFont="1" applyFill="1" applyBorder="1" applyAlignment="1" applyProtection="1">
      <alignment vertical="center"/>
    </xf>
    <xf numFmtId="0" fontId="21" fillId="0" borderId="0" xfId="0" applyFont="1" applyFill="1" applyBorder="1" applyAlignment="1" applyProtection="1">
      <alignment wrapText="1"/>
    </xf>
    <xf numFmtId="1" fontId="15" fillId="0" borderId="0" xfId="0" applyNumberFormat="1" applyFont="1" applyFill="1" applyBorder="1" applyAlignment="1" applyProtection="1">
      <alignment horizontal="center"/>
    </xf>
    <xf numFmtId="164" fontId="13" fillId="0" borderId="0" xfId="0" applyNumberFormat="1" applyFont="1" applyFill="1" applyBorder="1" applyAlignment="1" applyProtection="1"/>
    <xf numFmtId="0" fontId="13" fillId="0" borderId="0" xfId="0" applyFont="1" applyFill="1" applyBorder="1" applyAlignment="1" applyProtection="1"/>
    <xf numFmtId="164" fontId="15" fillId="0" borderId="0" xfId="0" applyNumberFormat="1" applyFont="1" applyFill="1" applyBorder="1" applyAlignment="1" applyProtection="1"/>
    <xf numFmtId="0" fontId="15" fillId="0" borderId="0" xfId="0" quotePrefix="1" applyFont="1" applyFill="1" applyBorder="1" applyAlignment="1" applyProtection="1">
      <alignment horizontal="left"/>
    </xf>
    <xf numFmtId="0" fontId="15" fillId="0" borderId="0" xfId="0" quotePrefix="1" applyFont="1" applyFill="1" applyBorder="1" applyProtection="1"/>
    <xf numFmtId="0" fontId="15" fillId="0" borderId="0" xfId="0" quotePrefix="1" applyFont="1" applyFill="1" applyBorder="1" applyAlignment="1" applyProtection="1"/>
    <xf numFmtId="0" fontId="15" fillId="0" borderId="0" xfId="0" applyFont="1" applyFill="1" applyBorder="1" applyAlignment="1" applyProtection="1">
      <alignment vertical="top" wrapText="1"/>
    </xf>
    <xf numFmtId="0" fontId="21" fillId="4" borderId="3" xfId="0" applyFont="1" applyFill="1" applyBorder="1" applyAlignment="1" applyProtection="1">
      <alignment horizontal="center"/>
    </xf>
    <xf numFmtId="0" fontId="16" fillId="2" borderId="3" xfId="0" applyFont="1" applyFill="1" applyBorder="1" applyAlignment="1" applyProtection="1">
      <alignment horizontal="center"/>
      <protection locked="0"/>
    </xf>
    <xf numFmtId="164" fontId="16" fillId="3" borderId="3" xfId="0" applyNumberFormat="1"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14" fontId="19" fillId="3" borderId="3" xfId="0" applyNumberFormat="1" applyFont="1" applyFill="1" applyBorder="1" applyAlignment="1" applyProtection="1">
      <alignment horizontal="left"/>
      <protection locked="0"/>
    </xf>
    <xf numFmtId="0" fontId="21" fillId="0" borderId="0" xfId="0" applyFont="1" applyProtection="1"/>
    <xf numFmtId="0" fontId="21" fillId="0" borderId="0" xfId="0" applyFont="1" applyAlignment="1" applyProtection="1"/>
    <xf numFmtId="0" fontId="21" fillId="5" borderId="3" xfId="0" applyFont="1" applyFill="1" applyBorder="1" applyAlignment="1" applyProtection="1">
      <alignment horizontal="center"/>
      <protection locked="0"/>
    </xf>
    <xf numFmtId="164" fontId="21" fillId="5" borderId="3" xfId="0" applyNumberFormat="1" applyFont="1" applyFill="1" applyBorder="1" applyAlignment="1" applyProtection="1">
      <alignment horizontal="center"/>
      <protection locked="0"/>
    </xf>
    <xf numFmtId="1" fontId="21" fillId="5" borderId="3" xfId="0" applyNumberFormat="1" applyFont="1" applyFill="1" applyBorder="1" applyAlignment="1" applyProtection="1">
      <alignment horizontal="center"/>
      <protection locked="0"/>
    </xf>
    <xf numFmtId="0" fontId="13" fillId="0" borderId="0" xfId="0" applyFont="1" applyProtection="1"/>
    <xf numFmtId="0" fontId="19" fillId="3" borderId="3" xfId="0" applyFont="1" applyFill="1" applyBorder="1" applyAlignment="1" applyProtection="1">
      <alignment horizontal="center"/>
      <protection locked="0"/>
    </xf>
    <xf numFmtId="0" fontId="15" fillId="10" borderId="0" xfId="0" applyFont="1" applyFill="1" applyAlignment="1" applyProtection="1">
      <alignment horizontal="center"/>
    </xf>
    <xf numFmtId="0" fontId="21" fillId="0" borderId="24" xfId="0" applyFont="1" applyFill="1" applyBorder="1" applyAlignment="1" applyProtection="1">
      <alignment horizontal="center"/>
    </xf>
    <xf numFmtId="164" fontId="16" fillId="0" borderId="24" xfId="0" applyNumberFormat="1" applyFont="1" applyFill="1" applyBorder="1" applyAlignment="1" applyProtection="1">
      <alignment horizontal="center"/>
    </xf>
    <xf numFmtId="0" fontId="13" fillId="10" borderId="0" xfId="0" applyFont="1" applyFill="1" applyAlignment="1" applyProtection="1"/>
    <xf numFmtId="0" fontId="15" fillId="10" borderId="0" xfId="0" applyFont="1" applyFill="1" applyAlignment="1" applyProtection="1"/>
    <xf numFmtId="0" fontId="16" fillId="10" borderId="0" xfId="0" applyFont="1" applyFill="1" applyAlignment="1" applyProtection="1"/>
    <xf numFmtId="0" fontId="15" fillId="10" borderId="0" xfId="0" applyFont="1" applyFill="1" applyProtection="1"/>
    <xf numFmtId="0" fontId="21" fillId="10" borderId="0" xfId="0" applyFont="1" applyFill="1" applyProtection="1"/>
    <xf numFmtId="0" fontId="15" fillId="10" borderId="17" xfId="0" applyFont="1" applyFill="1" applyBorder="1" applyAlignment="1" applyProtection="1">
      <alignment horizontal="center"/>
    </xf>
    <xf numFmtId="0" fontId="15" fillId="10" borderId="13" xfId="0" applyFont="1" applyFill="1" applyBorder="1" applyProtection="1"/>
    <xf numFmtId="0" fontId="16" fillId="10" borderId="48" xfId="0" applyFont="1" applyFill="1" applyBorder="1" applyAlignment="1" applyProtection="1">
      <alignment horizontal="right"/>
    </xf>
    <xf numFmtId="0" fontId="15" fillId="0" borderId="0" xfId="0" applyFont="1" applyBorder="1" applyAlignment="1" applyProtection="1">
      <alignment vertical="top" wrapText="1"/>
    </xf>
    <xf numFmtId="0" fontId="14" fillId="0" borderId="0" xfId="0" applyFont="1" applyBorder="1"/>
    <xf numFmtId="0" fontId="17" fillId="0" borderId="0" xfId="0" applyFont="1" applyFill="1" applyAlignment="1">
      <alignment horizontal="center"/>
    </xf>
    <xf numFmtId="0" fontId="13" fillId="0" borderId="0" xfId="0" applyFont="1" applyAlignment="1">
      <alignment horizontal="center"/>
    </xf>
    <xf numFmtId="0" fontId="2" fillId="0" borderId="0" xfId="0" quotePrefix="1" applyNumberFormat="1" applyFont="1" applyFill="1" applyAlignment="1" applyProtection="1">
      <alignment horizontal="left"/>
    </xf>
    <xf numFmtId="0" fontId="27" fillId="4" borderId="3" xfId="0" applyFont="1" applyFill="1" applyBorder="1" applyAlignment="1" applyProtection="1">
      <alignment horizontal="center"/>
    </xf>
    <xf numFmtId="164" fontId="28" fillId="6" borderId="3" xfId="0" applyNumberFormat="1" applyFont="1" applyFill="1" applyBorder="1" applyAlignment="1" applyProtection="1">
      <alignment horizontal="center"/>
    </xf>
    <xf numFmtId="0" fontId="30" fillId="0" borderId="25" xfId="0" applyFont="1" applyBorder="1" applyAlignment="1" applyProtection="1">
      <alignment horizontal="center"/>
    </xf>
    <xf numFmtId="0" fontId="30" fillId="0" borderId="28" xfId="0" applyFont="1" applyBorder="1" applyAlignment="1" applyProtection="1">
      <alignment horizontal="center"/>
    </xf>
    <xf numFmtId="0" fontId="30" fillId="0" borderId="29" xfId="0" applyFont="1" applyBorder="1" applyAlignment="1" applyProtection="1">
      <alignment horizontal="center"/>
    </xf>
    <xf numFmtId="0" fontId="30" fillId="0" borderId="0" xfId="0" applyFont="1" applyAlignment="1" applyProtection="1">
      <alignment horizontal="center"/>
    </xf>
    <xf numFmtId="0" fontId="27" fillId="0" borderId="40" xfId="0" applyFont="1" applyBorder="1" applyAlignment="1" applyProtection="1">
      <alignment horizontal="center"/>
    </xf>
    <xf numFmtId="0" fontId="30" fillId="0" borderId="40" xfId="0" quotePrefix="1" applyFont="1" applyBorder="1" applyAlignment="1" applyProtection="1">
      <alignment horizontal="center"/>
    </xf>
    <xf numFmtId="0" fontId="27" fillId="0" borderId="24" xfId="0" applyFont="1" applyFill="1" applyBorder="1" applyAlignment="1" applyProtection="1">
      <alignment horizontal="center"/>
    </xf>
    <xf numFmtId="164" fontId="28" fillId="0" borderId="24" xfId="0" applyNumberFormat="1" applyFont="1" applyFill="1" applyBorder="1" applyAlignment="1" applyProtection="1">
      <alignment horizontal="center"/>
    </xf>
    <xf numFmtId="0" fontId="30" fillId="10" borderId="25" xfId="0" applyFont="1" applyFill="1" applyBorder="1" applyAlignment="1" applyProtection="1">
      <alignment horizontal="center"/>
    </xf>
    <xf numFmtId="0" fontId="30" fillId="10" borderId="28" xfId="0" applyFont="1" applyFill="1" applyBorder="1" applyAlignment="1" applyProtection="1">
      <alignment horizontal="center"/>
    </xf>
    <xf numFmtId="0" fontId="30" fillId="10" borderId="29" xfId="0" applyFont="1" applyFill="1" applyBorder="1" applyAlignment="1" applyProtection="1">
      <alignment horizontal="center"/>
    </xf>
    <xf numFmtId="0" fontId="30" fillId="10" borderId="0" xfId="0" applyFont="1" applyFill="1" applyAlignment="1" applyProtection="1">
      <alignment horizontal="center"/>
    </xf>
    <xf numFmtId="0" fontId="30" fillId="0" borderId="24" xfId="0" applyFont="1" applyFill="1" applyBorder="1" applyAlignment="1" applyProtection="1">
      <alignment horizontal="center"/>
    </xf>
    <xf numFmtId="0" fontId="27" fillId="0" borderId="26" xfId="0" applyFont="1" applyFill="1" applyBorder="1" applyAlignment="1" applyProtection="1">
      <alignment horizontal="center"/>
    </xf>
    <xf numFmtId="1" fontId="30" fillId="0" borderId="24" xfId="0" applyNumberFormat="1" applyFont="1" applyFill="1" applyBorder="1" applyAlignment="1" applyProtection="1">
      <alignment horizontal="center"/>
    </xf>
    <xf numFmtId="164" fontId="30" fillId="0" borderId="24" xfId="0" applyNumberFormat="1" applyFont="1" applyFill="1" applyBorder="1" applyAlignment="1" applyProtection="1">
      <alignment horizontal="center"/>
    </xf>
    <xf numFmtId="0" fontId="30" fillId="10" borderId="17" xfId="0" quotePrefix="1" applyFont="1" applyFill="1" applyBorder="1" applyAlignment="1" applyProtection="1">
      <alignment horizontal="center"/>
    </xf>
    <xf numFmtId="0" fontId="19" fillId="0" borderId="24" xfId="0" applyFont="1" applyFill="1" applyBorder="1" applyAlignment="1" applyProtection="1">
      <alignment horizontal="center"/>
    </xf>
    <xf numFmtId="14" fontId="19" fillId="0" borderId="24" xfId="0" applyNumberFormat="1" applyFont="1" applyFill="1" applyBorder="1" applyAlignment="1" applyProtection="1">
      <alignment horizontal="left"/>
    </xf>
    <xf numFmtId="0" fontId="19" fillId="0" borderId="24" xfId="0" applyFont="1" applyFill="1" applyBorder="1" applyAlignment="1" applyProtection="1"/>
    <xf numFmtId="0" fontId="16" fillId="0" borderId="24" xfId="0" applyFont="1" applyFill="1" applyBorder="1" applyAlignment="1" applyProtection="1">
      <alignment horizontal="center"/>
    </xf>
    <xf numFmtId="0" fontId="23" fillId="0" borderId="24" xfId="0" applyFont="1" applyFill="1" applyBorder="1" applyAlignment="1" applyProtection="1">
      <alignment horizontal="left"/>
    </xf>
    <xf numFmtId="164" fontId="23" fillId="0" borderId="24" xfId="0" applyNumberFormat="1" applyFont="1" applyFill="1" applyBorder="1" applyAlignment="1" applyProtection="1">
      <alignment horizontal="left"/>
    </xf>
    <xf numFmtId="1" fontId="23" fillId="0" borderId="24" xfId="0" applyNumberFormat="1" applyFont="1" applyFill="1" applyBorder="1" applyAlignment="1" applyProtection="1">
      <alignment horizontal="left"/>
    </xf>
    <xf numFmtId="0" fontId="16" fillId="0" borderId="23" xfId="0" applyFont="1" applyBorder="1" applyAlignment="1" applyProtection="1">
      <alignment horizontal="right" vertical="center"/>
    </xf>
    <xf numFmtId="0" fontId="16" fillId="0" borderId="23" xfId="0" applyFont="1" applyBorder="1" applyAlignment="1" applyProtection="1">
      <alignment horizontal="right"/>
    </xf>
    <xf numFmtId="0" fontId="19" fillId="3" borderId="3" xfId="0" applyFont="1" applyFill="1" applyBorder="1" applyAlignment="1" applyProtection="1">
      <protection locked="0"/>
    </xf>
    <xf numFmtId="0" fontId="13" fillId="0" borderId="0" xfId="0" applyFont="1" applyAlignment="1" applyProtection="1">
      <alignment horizontal="center"/>
    </xf>
    <xf numFmtId="0" fontId="13" fillId="10" borderId="0" xfId="0" applyFont="1" applyFill="1" applyAlignment="1" applyProtection="1">
      <alignment horizontal="center"/>
    </xf>
    <xf numFmtId="0" fontId="16" fillId="4" borderId="0" xfId="0" applyFont="1" applyFill="1" applyAlignment="1" applyProtection="1">
      <alignment horizontal="center"/>
    </xf>
    <xf numFmtId="0" fontId="16" fillId="11" borderId="3" xfId="0" applyFont="1" applyFill="1" applyBorder="1" applyAlignment="1" applyProtection="1">
      <alignment horizontal="center"/>
      <protection locked="0"/>
    </xf>
    <xf numFmtId="1" fontId="0" fillId="9" borderId="3" xfId="0" applyNumberFormat="1" applyFill="1" applyBorder="1" applyProtection="1"/>
    <xf numFmtId="0" fontId="36" fillId="6" borderId="1" xfId="0" applyFont="1" applyFill="1" applyBorder="1" applyAlignment="1" applyProtection="1">
      <alignment horizontal="center"/>
    </xf>
    <xf numFmtId="1" fontId="36" fillId="6" borderId="6" xfId="0" applyNumberFormat="1" applyFont="1" applyFill="1" applyBorder="1" applyAlignment="1" applyProtection="1">
      <alignment horizontal="center"/>
    </xf>
    <xf numFmtId="0" fontId="36" fillId="6" borderId="4" xfId="0" applyFont="1" applyFill="1" applyBorder="1" applyAlignment="1" applyProtection="1">
      <alignment horizontal="center"/>
    </xf>
    <xf numFmtId="0" fontId="36" fillId="6" borderId="5" xfId="0" applyFont="1" applyFill="1" applyBorder="1" applyAlignment="1" applyProtection="1">
      <alignment horizontal="center"/>
    </xf>
    <xf numFmtId="164" fontId="36" fillId="6" borderId="5" xfId="0" applyNumberFormat="1" applyFont="1" applyFill="1" applyBorder="1" applyAlignment="1" applyProtection="1">
      <alignment horizontal="center"/>
    </xf>
    <xf numFmtId="164" fontId="36" fillId="6" borderId="4" xfId="0" applyNumberFormat="1" applyFont="1" applyFill="1" applyBorder="1" applyAlignment="1" applyProtection="1">
      <alignment horizontal="center"/>
    </xf>
    <xf numFmtId="14" fontId="0" fillId="0" borderId="0" xfId="0" applyNumberFormat="1"/>
    <xf numFmtId="0" fontId="2" fillId="0" borderId="0" xfId="0" applyFont="1"/>
    <xf numFmtId="0" fontId="2" fillId="0" borderId="0" xfId="0" applyFont="1" applyAlignment="1">
      <alignment wrapText="1"/>
    </xf>
    <xf numFmtId="0" fontId="0" fillId="0" borderId="0" xfId="0" applyAlignment="1">
      <alignment wrapText="1"/>
    </xf>
    <xf numFmtId="0" fontId="5" fillId="0" borderId="0" xfId="0" applyFont="1"/>
    <xf numFmtId="0" fontId="5" fillId="0" borderId="0" xfId="0" applyFont="1" applyAlignment="1">
      <alignment wrapText="1"/>
    </xf>
    <xf numFmtId="0" fontId="31" fillId="0" borderId="0" xfId="0" applyFont="1" applyFill="1" applyAlignment="1" applyProtection="1">
      <alignment horizontal="left" vertical="top" wrapText="1"/>
    </xf>
    <xf numFmtId="0" fontId="12" fillId="7" borderId="0" xfId="0" applyFont="1" applyFill="1" applyAlignment="1" applyProtection="1">
      <alignment horizontal="center"/>
    </xf>
    <xf numFmtId="0" fontId="27" fillId="0" borderId="3" xfId="0" applyFont="1" applyBorder="1" applyProtection="1"/>
    <xf numFmtId="0" fontId="16" fillId="0" borderId="33" xfId="0" applyFont="1" applyBorder="1" applyAlignment="1" applyProtection="1">
      <alignment horizontal="right"/>
    </xf>
    <xf numFmtId="0" fontId="16" fillId="0" borderId="23" xfId="0" applyFont="1" applyBorder="1" applyAlignment="1" applyProtection="1">
      <alignment horizontal="right"/>
    </xf>
    <xf numFmtId="0" fontId="19" fillId="3" borderId="3" xfId="0" applyFont="1" applyFill="1" applyBorder="1" applyAlignment="1" applyProtection="1">
      <protection locked="0"/>
    </xf>
    <xf numFmtId="0" fontId="27" fillId="0" borderId="3" xfId="0" applyFont="1" applyBorder="1" applyAlignment="1" applyProtection="1">
      <alignment horizontal="left"/>
    </xf>
    <xf numFmtId="0" fontId="16" fillId="2" borderId="0" xfId="0" applyFont="1" applyFill="1" applyAlignment="1" applyProtection="1">
      <alignment horizontal="center"/>
    </xf>
    <xf numFmtId="0" fontId="16" fillId="6" borderId="0" xfId="0" applyFont="1" applyFill="1" applyAlignment="1" applyProtection="1">
      <alignment horizontal="center"/>
    </xf>
    <xf numFmtId="0" fontId="16" fillId="5" borderId="0" xfId="0" applyFont="1" applyFill="1" applyAlignment="1" applyProtection="1">
      <alignment horizontal="center"/>
    </xf>
    <xf numFmtId="0" fontId="16" fillId="0" borderId="0" xfId="0" applyFont="1" applyBorder="1" applyAlignment="1" applyProtection="1">
      <alignment horizontal="right"/>
    </xf>
    <xf numFmtId="0" fontId="27" fillId="4" borderId="3" xfId="0" applyFont="1" applyFill="1" applyBorder="1" applyAlignment="1" applyProtection="1">
      <alignment horizontal="right"/>
    </xf>
    <xf numFmtId="0" fontId="27" fillId="0" borderId="3" xfId="0" applyFont="1" applyFill="1" applyBorder="1" applyAlignment="1" applyProtection="1"/>
    <xf numFmtId="0" fontId="27" fillId="0" borderId="3" xfId="0" applyFont="1" applyFill="1" applyBorder="1" applyAlignment="1" applyProtection="1">
      <alignment horizontal="left"/>
    </xf>
    <xf numFmtId="0" fontId="31" fillId="0" borderId="12" xfId="0" applyFont="1" applyBorder="1" applyAlignment="1" applyProtection="1">
      <alignment horizontal="left"/>
    </xf>
    <xf numFmtId="0" fontId="31" fillId="0" borderId="13" xfId="0" applyFont="1" applyBorder="1" applyAlignment="1" applyProtection="1">
      <alignment horizontal="left"/>
    </xf>
    <xf numFmtId="0" fontId="31" fillId="0" borderId="14" xfId="0" applyFont="1" applyBorder="1" applyAlignment="1" applyProtection="1">
      <alignment horizontal="left"/>
    </xf>
    <xf numFmtId="0" fontId="27" fillId="0" borderId="0" xfId="0" quotePrefix="1" applyFont="1" applyBorder="1" applyAlignment="1" applyProtection="1">
      <alignment horizontal="left"/>
    </xf>
    <xf numFmtId="0" fontId="27" fillId="0" borderId="0" xfId="0" applyFont="1" applyBorder="1" applyAlignment="1" applyProtection="1">
      <alignment horizontal="left"/>
    </xf>
    <xf numFmtId="0" fontId="30" fillId="0" borderId="15" xfId="0" applyFont="1" applyBorder="1" applyAlignment="1" applyProtection="1">
      <alignment horizontal="center" vertical="center"/>
    </xf>
    <xf numFmtId="0" fontId="30" fillId="0" borderId="16" xfId="0" applyFont="1" applyBorder="1" applyAlignment="1" applyProtection="1">
      <alignment horizontal="center" vertical="center"/>
    </xf>
    <xf numFmtId="0" fontId="30" fillId="0" borderId="17" xfId="0" applyFont="1" applyBorder="1" applyAlignment="1" applyProtection="1">
      <alignment horizontal="center" vertical="center"/>
    </xf>
    <xf numFmtId="0" fontId="30" fillId="0" borderId="18" xfId="0" applyFont="1" applyBorder="1" applyAlignment="1" applyProtection="1">
      <alignment horizontal="center" vertical="center"/>
    </xf>
    <xf numFmtId="0" fontId="30" fillId="0" borderId="8" xfId="0" applyFont="1" applyBorder="1" applyAlignment="1" applyProtection="1">
      <alignment horizontal="center"/>
    </xf>
    <xf numFmtId="0" fontId="30" fillId="0" borderId="19" xfId="0" applyFont="1" applyBorder="1" applyAlignment="1" applyProtection="1">
      <alignment horizontal="center"/>
    </xf>
    <xf numFmtId="0" fontId="30" fillId="0" borderId="20" xfId="0" applyFont="1" applyBorder="1" applyAlignment="1" applyProtection="1">
      <alignment horizontal="center"/>
    </xf>
    <xf numFmtId="0" fontId="27" fillId="0" borderId="21" xfId="0" applyFont="1" applyBorder="1" applyAlignment="1" applyProtection="1">
      <alignment horizontal="center" wrapText="1"/>
    </xf>
    <xf numFmtId="0" fontId="27" fillId="0" borderId="22" xfId="0" applyFont="1" applyBorder="1" applyAlignment="1" applyProtection="1">
      <alignment horizontal="center" wrapText="1"/>
    </xf>
    <xf numFmtId="0" fontId="13" fillId="0" borderId="0" xfId="0" applyFont="1" applyAlignment="1" applyProtection="1">
      <alignment horizontal="center"/>
    </xf>
    <xf numFmtId="0" fontId="20" fillId="7" borderId="21" xfId="0" applyFont="1" applyFill="1" applyBorder="1" applyAlignment="1" applyProtection="1">
      <alignment horizontal="center"/>
    </xf>
    <xf numFmtId="0" fontId="20" fillId="7" borderId="35" xfId="0" applyFont="1" applyFill="1" applyBorder="1" applyAlignment="1" applyProtection="1">
      <alignment horizontal="center"/>
    </xf>
    <xf numFmtId="0" fontId="20" fillId="7" borderId="36" xfId="0" applyFont="1" applyFill="1" applyBorder="1" applyAlignment="1" applyProtection="1">
      <alignment horizontal="center"/>
    </xf>
    <xf numFmtId="0" fontId="29" fillId="8" borderId="3" xfId="0" applyFont="1" applyFill="1" applyBorder="1" applyAlignment="1" applyProtection="1">
      <alignment horizontal="center"/>
    </xf>
    <xf numFmtId="0" fontId="27" fillId="0" borderId="3" xfId="0" applyFont="1" applyBorder="1" applyAlignment="1" applyProtection="1"/>
    <xf numFmtId="0" fontId="27" fillId="0" borderId="3" xfId="0" applyFont="1" applyBorder="1" applyAlignment="1" applyProtection="1">
      <alignment horizontal="right"/>
    </xf>
    <xf numFmtId="0" fontId="31" fillId="0" borderId="38" xfId="0" applyFont="1" applyBorder="1" applyAlignment="1" applyProtection="1">
      <alignment horizontal="center" wrapText="1"/>
    </xf>
    <xf numFmtId="0" fontId="31" fillId="0" borderId="39" xfId="0" applyFont="1" applyBorder="1" applyAlignment="1" applyProtection="1">
      <alignment horizontal="center" wrapText="1"/>
    </xf>
    <xf numFmtId="0" fontId="20" fillId="7" borderId="9" xfId="0" applyFont="1" applyFill="1" applyBorder="1" applyAlignment="1" applyProtection="1">
      <alignment horizontal="center"/>
    </xf>
    <xf numFmtId="0" fontId="20" fillId="7" borderId="10" xfId="0" applyFont="1" applyFill="1" applyBorder="1" applyAlignment="1" applyProtection="1">
      <alignment horizontal="center"/>
    </xf>
    <xf numFmtId="0" fontId="20" fillId="7" borderId="11" xfId="0" applyFont="1" applyFill="1" applyBorder="1" applyAlignment="1" applyProtection="1">
      <alignment horizontal="center"/>
    </xf>
    <xf numFmtId="0" fontId="30" fillId="0" borderId="16" xfId="0" applyFont="1" applyBorder="1" applyAlignment="1" applyProtection="1">
      <alignment horizontal="center" wrapText="1"/>
    </xf>
    <xf numFmtId="0" fontId="30" fillId="0" borderId="37" xfId="0" applyFont="1" applyBorder="1" applyAlignment="1" applyProtection="1">
      <alignment horizontal="center" wrapText="1"/>
    </xf>
    <xf numFmtId="0" fontId="27" fillId="0" borderId="7" xfId="0" applyFont="1" applyBorder="1" applyAlignment="1" applyProtection="1"/>
    <xf numFmtId="0" fontId="27" fillId="0" borderId="13" xfId="0" applyFont="1" applyBorder="1" applyAlignment="1" applyProtection="1"/>
    <xf numFmtId="0" fontId="20" fillId="7" borderId="3" xfId="0" applyFont="1" applyFill="1" applyBorder="1" applyAlignment="1" applyProtection="1">
      <alignment horizontal="center"/>
    </xf>
    <xf numFmtId="0" fontId="30" fillId="10" borderId="20" xfId="0" applyFont="1" applyFill="1" applyBorder="1" applyAlignment="1" applyProtection="1">
      <alignment horizontal="center"/>
    </xf>
    <xf numFmtId="0" fontId="30" fillId="10" borderId="19" xfId="0" applyFont="1" applyFill="1" applyBorder="1" applyAlignment="1" applyProtection="1">
      <alignment horizontal="center"/>
    </xf>
    <xf numFmtId="0" fontId="20" fillId="7" borderId="0" xfId="0" applyFont="1" applyFill="1" applyBorder="1" applyAlignment="1" applyProtection="1">
      <alignment horizontal="center"/>
    </xf>
    <xf numFmtId="0" fontId="20" fillId="7" borderId="37" xfId="0" applyFont="1" applyFill="1" applyBorder="1" applyAlignment="1" applyProtection="1">
      <alignment horizontal="center"/>
    </xf>
    <xf numFmtId="0" fontId="27" fillId="10" borderId="6" xfId="0" applyFont="1" applyFill="1" applyBorder="1" applyAlignment="1" applyProtection="1">
      <alignment horizontal="left"/>
    </xf>
    <xf numFmtId="0" fontId="27" fillId="10" borderId="3" xfId="0" applyFont="1" applyFill="1" applyBorder="1" applyAlignment="1" applyProtection="1">
      <alignment horizontal="left"/>
    </xf>
    <xf numFmtId="0" fontId="31" fillId="10" borderId="13" xfId="0" applyFont="1" applyFill="1" applyBorder="1" applyAlignment="1" applyProtection="1">
      <alignment horizontal="left"/>
    </xf>
    <xf numFmtId="0" fontId="31" fillId="10" borderId="6" xfId="0" applyFont="1" applyFill="1" applyBorder="1" applyAlignment="1" applyProtection="1">
      <alignment horizontal="left"/>
    </xf>
    <xf numFmtId="0" fontId="16" fillId="10" borderId="48" xfId="0" applyFont="1" applyFill="1" applyBorder="1" applyAlignment="1" applyProtection="1">
      <alignment horizontal="right" vertical="center"/>
    </xf>
    <xf numFmtId="0" fontId="19" fillId="0" borderId="41" xfId="0" applyFont="1" applyFill="1" applyBorder="1" applyAlignment="1" applyProtection="1">
      <alignment horizontal="center"/>
    </xf>
    <xf numFmtId="0" fontId="19" fillId="0" borderId="42" xfId="0" applyFont="1" applyFill="1" applyBorder="1" applyAlignment="1" applyProtection="1">
      <alignment horizontal="center"/>
    </xf>
    <xf numFmtId="0" fontId="19" fillId="0" borderId="43" xfId="0" applyFont="1" applyFill="1" applyBorder="1" applyAlignment="1" applyProtection="1">
      <alignment horizontal="center"/>
    </xf>
    <xf numFmtId="0" fontId="19" fillId="0" borderId="44" xfId="0" applyFont="1" applyFill="1" applyBorder="1" applyAlignment="1" applyProtection="1">
      <alignment horizontal="center"/>
    </xf>
    <xf numFmtId="0" fontId="19" fillId="0" borderId="45" xfId="0" applyFont="1" applyFill="1" applyBorder="1" applyAlignment="1" applyProtection="1">
      <alignment horizontal="center"/>
    </xf>
    <xf numFmtId="0" fontId="19" fillId="0" borderId="46" xfId="0" applyFont="1" applyFill="1" applyBorder="1" applyAlignment="1" applyProtection="1">
      <alignment horizontal="center"/>
    </xf>
    <xf numFmtId="0" fontId="20" fillId="7" borderId="33" xfId="0" applyFont="1" applyFill="1" applyBorder="1" applyAlignment="1" applyProtection="1">
      <alignment horizontal="center"/>
    </xf>
    <xf numFmtId="0" fontId="30" fillId="10" borderId="37" xfId="0" applyFont="1" applyFill="1" applyBorder="1" applyAlignment="1" applyProtection="1">
      <alignment horizontal="center" wrapText="1"/>
    </xf>
    <xf numFmtId="0" fontId="27" fillId="10" borderId="21" xfId="0" applyFont="1" applyFill="1" applyBorder="1" applyAlignment="1" applyProtection="1">
      <alignment horizontal="center" wrapText="1"/>
    </xf>
    <xf numFmtId="0" fontId="27" fillId="10" borderId="22" xfId="0" applyFont="1" applyFill="1" applyBorder="1" applyAlignment="1" applyProtection="1">
      <alignment horizontal="center" wrapText="1"/>
    </xf>
    <xf numFmtId="0" fontId="31" fillId="10" borderId="38" xfId="0" applyFont="1" applyFill="1" applyBorder="1" applyAlignment="1" applyProtection="1">
      <alignment horizontal="center" wrapText="1"/>
    </xf>
    <xf numFmtId="0" fontId="31" fillId="10" borderId="39" xfId="0" applyFont="1" applyFill="1" applyBorder="1" applyAlignment="1" applyProtection="1">
      <alignment horizontal="center" wrapText="1"/>
    </xf>
    <xf numFmtId="0" fontId="30" fillId="10" borderId="8" xfId="0" applyFont="1" applyFill="1" applyBorder="1" applyAlignment="1" applyProtection="1">
      <alignment horizontal="center"/>
    </xf>
    <xf numFmtId="0" fontId="30" fillId="10" borderId="15" xfId="0" applyFont="1" applyFill="1" applyBorder="1" applyAlignment="1" applyProtection="1">
      <alignment horizontal="center" vertical="center"/>
    </xf>
    <xf numFmtId="0" fontId="30" fillId="10" borderId="49" xfId="0" applyFont="1" applyFill="1" applyBorder="1" applyAlignment="1" applyProtection="1">
      <alignment horizontal="center" vertical="center"/>
    </xf>
    <xf numFmtId="0" fontId="30" fillId="10" borderId="17" xfId="0" applyFont="1" applyFill="1" applyBorder="1" applyAlignment="1" applyProtection="1">
      <alignment horizontal="center" vertical="center"/>
    </xf>
    <xf numFmtId="0" fontId="30" fillId="10" borderId="27" xfId="0" applyFont="1" applyFill="1" applyBorder="1" applyAlignment="1" applyProtection="1">
      <alignment horizontal="center" vertical="center"/>
    </xf>
    <xf numFmtId="0" fontId="27" fillId="10" borderId="6" xfId="0" applyFont="1" applyFill="1" applyBorder="1" applyProtection="1"/>
    <xf numFmtId="0" fontId="27" fillId="10" borderId="3" xfId="0" applyFont="1" applyFill="1" applyBorder="1" applyProtection="1"/>
    <xf numFmtId="0" fontId="27" fillId="10" borderId="23" xfId="0" applyFont="1" applyFill="1" applyBorder="1" applyAlignment="1" applyProtection="1">
      <alignment horizontal="left"/>
    </xf>
    <xf numFmtId="0" fontId="27" fillId="10" borderId="6" xfId="0" applyFont="1" applyFill="1" applyBorder="1" applyAlignment="1" applyProtection="1"/>
    <xf numFmtId="0" fontId="27" fillId="10" borderId="3" xfId="0" applyFont="1" applyFill="1" applyBorder="1" applyAlignment="1" applyProtection="1"/>
    <xf numFmtId="0" fontId="27" fillId="10" borderId="3" xfId="0" applyFont="1" applyFill="1" applyBorder="1" applyAlignment="1" applyProtection="1">
      <alignment horizontal="right"/>
    </xf>
    <xf numFmtId="0" fontId="27" fillId="10" borderId="7" xfId="0" applyFont="1" applyFill="1" applyBorder="1" applyAlignment="1" applyProtection="1">
      <alignment horizontal="right"/>
    </xf>
    <xf numFmtId="0" fontId="29" fillId="10" borderId="6" xfId="0" applyFont="1" applyFill="1" applyBorder="1" applyAlignment="1" applyProtection="1">
      <alignment horizontal="center"/>
    </xf>
    <xf numFmtId="0" fontId="29" fillId="10" borderId="3" xfId="0" applyFont="1" applyFill="1" applyBorder="1" applyAlignment="1" applyProtection="1">
      <alignment horizontal="center"/>
    </xf>
    <xf numFmtId="0" fontId="27" fillId="10" borderId="2" xfId="0" applyFont="1" applyFill="1" applyBorder="1" applyAlignment="1" applyProtection="1">
      <alignment horizontal="left"/>
    </xf>
    <xf numFmtId="0" fontId="27" fillId="10" borderId="7" xfId="0" applyFont="1" applyFill="1" applyBorder="1" applyAlignment="1" applyProtection="1"/>
    <xf numFmtId="0" fontId="13" fillId="10" borderId="0" xfId="0" applyFont="1" applyFill="1" applyAlignment="1" applyProtection="1">
      <alignment horizontal="center"/>
    </xf>
    <xf numFmtId="0" fontId="16" fillId="10" borderId="33" xfId="0" applyFont="1" applyFill="1" applyBorder="1" applyAlignment="1" applyProtection="1">
      <alignment horizontal="right"/>
    </xf>
    <xf numFmtId="0" fontId="16" fillId="10" borderId="47" xfId="0" applyFont="1" applyFill="1" applyBorder="1" applyAlignment="1" applyProtection="1">
      <alignment horizontal="right"/>
    </xf>
    <xf numFmtId="0" fontId="16" fillId="10" borderId="0" xfId="0" applyFont="1" applyFill="1" applyBorder="1" applyAlignment="1" applyProtection="1">
      <alignment horizontal="right"/>
    </xf>
    <xf numFmtId="0" fontId="30" fillId="0" borderId="30" xfId="0" applyFont="1" applyBorder="1" applyAlignment="1" applyProtection="1">
      <alignment horizontal="left" vertical="top" wrapText="1"/>
    </xf>
    <xf numFmtId="0" fontId="30" fillId="0" borderId="32" xfId="0" applyFont="1" applyBorder="1" applyAlignment="1" applyProtection="1">
      <alignment horizontal="left" vertical="top" wrapText="1"/>
    </xf>
    <xf numFmtId="0" fontId="30" fillId="0" borderId="25" xfId="0" applyFont="1" applyBorder="1" applyAlignment="1" applyProtection="1">
      <alignment horizontal="left" vertical="top" wrapText="1"/>
    </xf>
    <xf numFmtId="0" fontId="30" fillId="0" borderId="31" xfId="0" applyFont="1" applyBorder="1" applyAlignment="1" applyProtection="1">
      <alignment horizontal="left" vertical="top" wrapText="1"/>
    </xf>
    <xf numFmtId="0" fontId="30" fillId="0" borderId="0" xfId="0" applyFont="1" applyBorder="1" applyAlignment="1" applyProtection="1">
      <alignment horizontal="left" vertical="top" wrapText="1"/>
    </xf>
    <xf numFmtId="0" fontId="30" fillId="0" borderId="33" xfId="0" applyFont="1" applyBorder="1" applyAlignment="1" applyProtection="1">
      <alignment horizontal="left" vertical="top" wrapText="1"/>
    </xf>
    <xf numFmtId="0" fontId="30" fillId="0" borderId="34" xfId="0" applyFont="1" applyBorder="1" applyAlignment="1" applyProtection="1">
      <alignment horizontal="left" vertical="top" wrapText="1"/>
    </xf>
    <xf numFmtId="0" fontId="30" fillId="0" borderId="17" xfId="0" applyFont="1" applyBorder="1" applyAlignment="1" applyProtection="1">
      <alignment horizontal="left" vertical="top" wrapText="1"/>
    </xf>
    <xf numFmtId="0" fontId="30" fillId="0" borderId="27" xfId="0" applyFont="1" applyBorder="1" applyAlignment="1" applyProtection="1">
      <alignment horizontal="left" vertical="top" wrapText="1"/>
    </xf>
    <xf numFmtId="0" fontId="33" fillId="0" borderId="3" xfId="0" applyFont="1" applyBorder="1" applyAlignment="1">
      <alignment horizontal="center" vertical="center"/>
    </xf>
    <xf numFmtId="164" fontId="26" fillId="9" borderId="3" xfId="0" applyNumberFormat="1" applyFont="1" applyFill="1" applyBorder="1" applyAlignment="1">
      <alignment horizontal="center" vertical="center"/>
    </xf>
    <xf numFmtId="0" fontId="25" fillId="7" borderId="0" xfId="0" applyFont="1" applyFill="1" applyAlignment="1">
      <alignment horizontal="center"/>
    </xf>
    <xf numFmtId="0" fontId="22" fillId="9" borderId="3" xfId="0" applyFont="1" applyFill="1" applyBorder="1" applyAlignment="1">
      <alignment horizontal="center" vertical="center"/>
    </xf>
    <xf numFmtId="0" fontId="32" fillId="0" borderId="3" xfId="0" applyFont="1" applyFill="1" applyBorder="1" applyAlignment="1" applyProtection="1"/>
    <xf numFmtId="0" fontId="32" fillId="0" borderId="3" xfId="0" applyFont="1" applyFill="1" applyBorder="1"/>
    <xf numFmtId="0" fontId="32" fillId="0" borderId="3" xfId="0" applyFont="1" applyFill="1" applyBorder="1" applyAlignment="1"/>
    <xf numFmtId="0" fontId="18" fillId="9" borderId="3" xfId="0" applyFont="1" applyFill="1" applyBorder="1" applyAlignment="1">
      <alignment horizontal="center"/>
    </xf>
    <xf numFmtId="0" fontId="17" fillId="3" borderId="3" xfId="0" applyFont="1" applyFill="1" applyBorder="1" applyAlignment="1" applyProtection="1">
      <alignment horizontal="center"/>
      <protection locked="0"/>
    </xf>
    <xf numFmtId="0" fontId="17" fillId="6" borderId="3" xfId="0" applyFont="1" applyFill="1" applyBorder="1" applyAlignment="1">
      <alignment horizontal="center"/>
    </xf>
    <xf numFmtId="0" fontId="17" fillId="5" borderId="3" xfId="0" applyFont="1" applyFill="1" applyBorder="1" applyAlignment="1" applyProtection="1">
      <alignment horizontal="center"/>
      <protection locked="0"/>
    </xf>
    <xf numFmtId="0" fontId="17" fillId="4" borderId="3" xfId="0" applyFont="1" applyFill="1" applyBorder="1" applyAlignment="1">
      <alignment horizontal="center"/>
    </xf>
    <xf numFmtId="0" fontId="13" fillId="0" borderId="0" xfId="0" applyFont="1" applyAlignment="1">
      <alignment horizontal="center"/>
    </xf>
    <xf numFmtId="0" fontId="16" fillId="4" borderId="0" xfId="0" applyFont="1" applyFill="1" applyAlignment="1" applyProtection="1">
      <alignment horizontal="center"/>
    </xf>
    <xf numFmtId="0" fontId="32" fillId="0" borderId="3" xfId="0" applyFont="1" applyBorder="1" applyAlignment="1" applyProtection="1">
      <alignment horizontal="center" vertical="center"/>
    </xf>
    <xf numFmtId="0" fontId="30" fillId="0" borderId="3" xfId="0" applyFont="1" applyBorder="1" applyAlignment="1" applyProtection="1">
      <alignment horizontal="left" vertical="center" wrapText="1"/>
    </xf>
    <xf numFmtId="0" fontId="32" fillId="0" borderId="3" xfId="0" applyFont="1" applyBorder="1" applyAlignment="1" applyProtection="1">
      <alignment horizontal="center" textRotation="90"/>
    </xf>
    <xf numFmtId="0" fontId="32" fillId="0" borderId="3" xfId="0" applyFont="1" applyBorder="1" applyAlignment="1" applyProtection="1">
      <alignment horizontal="left"/>
    </xf>
  </cellXfs>
  <cellStyles count="1">
    <cellStyle name="Normal" xfId="0" builtinId="0"/>
  </cellStyles>
  <dxfs count="35">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color rgb="FFFF0000"/>
      </font>
    </dxf>
    <dxf>
      <font>
        <color rgb="FFFF0000"/>
      </font>
    </dxf>
    <dxf>
      <font>
        <color rgb="FFFF0000"/>
      </font>
    </dxf>
    <dxf>
      <font>
        <color rgb="FFFF0000"/>
      </font>
    </dxf>
    <dxf>
      <font>
        <color rgb="FFFF0000"/>
      </font>
    </dxf>
    <dxf>
      <font>
        <condense val="0"/>
        <extend val="0"/>
        <color indexed="10"/>
      </font>
    </dxf>
    <dxf>
      <font>
        <condense val="0"/>
        <extend val="0"/>
        <color indexed="10"/>
      </font>
    </dxf>
    <dxf>
      <font>
        <condense val="0"/>
        <extend val="0"/>
        <color indexed="10"/>
      </font>
      <fill>
        <patternFill>
          <bgColor indexed="13"/>
        </patternFill>
      </fill>
    </dxf>
    <dxf>
      <fill>
        <patternFill patternType="none">
          <bgColor auto="1"/>
        </patternFill>
      </fill>
    </dxf>
    <dxf>
      <font>
        <condense val="0"/>
        <extend val="0"/>
        <color indexed="10"/>
      </font>
      <fill>
        <patternFill>
          <bgColor indexed="13"/>
        </patternFill>
      </fill>
    </dxf>
    <dxf>
      <font>
        <color rgb="FFFF0000"/>
      </font>
    </dxf>
    <dxf>
      <font>
        <color rgb="FFFF0000"/>
      </font>
    </dxf>
    <dxf>
      <font>
        <color rgb="FFFF0000"/>
      </font>
    </dxf>
    <dxf>
      <fill>
        <patternFill patternType="none">
          <bgColor auto="1"/>
        </patternFill>
      </fill>
    </dxf>
    <dxf>
      <font>
        <color rgb="FFFF0000"/>
      </font>
    </dxf>
    <dxf>
      <font>
        <color rgb="FFFF0000"/>
      </font>
    </dxf>
    <dxf>
      <font>
        <b/>
        <i val="0"/>
        <color rgb="FFFF0000"/>
      </font>
    </dxf>
    <dxf>
      <font>
        <color rgb="FFFF0000"/>
      </font>
    </dxf>
    <dxf>
      <font>
        <color rgb="FFFF0000"/>
      </font>
    </dxf>
    <dxf>
      <font>
        <color rgb="FFFF0000"/>
      </font>
    </dxf>
    <dxf>
      <font>
        <color rgb="FFFF0000"/>
      </font>
    </dxf>
    <dxf>
      <font>
        <color rgb="FFFF0000"/>
      </font>
    </dxf>
    <dxf>
      <font>
        <condense val="0"/>
        <extend val="0"/>
        <color indexed="10"/>
      </font>
    </dxf>
    <dxf>
      <font>
        <condense val="0"/>
        <extend val="0"/>
        <color indexed="10"/>
      </font>
    </dxf>
    <dxf>
      <font>
        <color rgb="FFFF0000"/>
      </font>
    </dxf>
    <dxf>
      <font>
        <condense val="0"/>
        <extend val="0"/>
        <color indexed="10"/>
      </font>
      <fill>
        <patternFill>
          <bgColor indexed="13"/>
        </patternFill>
      </fill>
    </dxf>
  </dxfs>
  <tableStyles count="0" defaultTableStyle="TableStyleMedium9" defaultPivotStyle="PivotStyleLight16"/>
  <colors>
    <mruColors>
      <color rgb="FFFFFFCC"/>
      <color rgb="FF00FFFF"/>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a:pPr>
            <a:r>
              <a:rPr lang="en-US" sz="1800" b="1"/>
              <a:t>AWS with Wavetronix Advance Radar Detection</a:t>
            </a:r>
          </a:p>
        </c:rich>
      </c:tx>
      <c:layout>
        <c:manualLayout>
          <c:xMode val="edge"/>
          <c:yMode val="edge"/>
          <c:x val="0.21446739073316587"/>
          <c:y val="2.7734961160158011E-2"/>
        </c:manualLayout>
      </c:layout>
      <c:overlay val="0"/>
      <c:spPr>
        <a:noFill/>
        <a:ln w="25400">
          <a:noFill/>
        </a:ln>
      </c:spPr>
    </c:title>
    <c:autoTitleDeleted val="0"/>
    <c:plotArea>
      <c:layout>
        <c:manualLayout>
          <c:layoutTarget val="inner"/>
          <c:xMode val="edge"/>
          <c:yMode val="edge"/>
          <c:x val="7.1253113994544925E-2"/>
          <c:y val="0.14329748839672965"/>
          <c:w val="0.89803493672435053"/>
          <c:h val="0.77195743749205592"/>
        </c:manualLayout>
      </c:layout>
      <c:scatterChart>
        <c:scatterStyle val="lineMarker"/>
        <c:varyColors val="0"/>
        <c:ser>
          <c:idx val="0"/>
          <c:order val="0"/>
          <c:tx>
            <c:strRef>
              <c:f>DiagramCalcs!$A$28</c:f>
              <c:strCache>
                <c:ptCount val="1"/>
              </c:strCache>
            </c:strRef>
          </c:tx>
          <c:spPr>
            <a:ln w="12700">
              <a:solidFill>
                <a:srgbClr val="000000"/>
              </a:solidFill>
              <a:prstDash val="solid"/>
            </a:ln>
          </c:spPr>
          <c:marker>
            <c:symbol val="none"/>
          </c:marker>
          <c:dLbls>
            <c:dLbl>
              <c:idx val="0"/>
              <c:delete val="1"/>
              <c:extLst>
                <c:ext xmlns:c15="http://schemas.microsoft.com/office/drawing/2012/chart" uri="{CE6537A1-D6FC-4f65-9D91-7224C49458BB}"/>
              </c:extLst>
            </c:dLbl>
            <c:spPr>
              <a:solidFill>
                <a:srgbClr val="FFFFFF"/>
              </a:solidFill>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DiagramCalcs!$D$28:$D$29</c:f>
              <c:numCache>
                <c:formatCode>General</c:formatCode>
                <c:ptCount val="2"/>
                <c:pt idx="0">
                  <c:v>-1</c:v>
                </c:pt>
                <c:pt idx="1">
                  <c:v>-1</c:v>
                </c:pt>
              </c:numCache>
            </c:numRef>
          </c:xVal>
          <c:yVal>
            <c:numRef>
              <c:f>DiagramCalcs!$E$28:$E$29</c:f>
              <c:numCache>
                <c:formatCode>General</c:formatCode>
                <c:ptCount val="2"/>
                <c:pt idx="0">
                  <c:v>-1</c:v>
                </c:pt>
                <c:pt idx="1">
                  <c:v>-1</c:v>
                </c:pt>
              </c:numCache>
            </c:numRef>
          </c:yVal>
          <c:smooth val="0"/>
        </c:ser>
        <c:ser>
          <c:idx val="28"/>
          <c:order val="1"/>
          <c:tx>
            <c:strRef>
              <c:f>DiagramCalcs!$A$94</c:f>
              <c:strCache>
                <c:ptCount val="1"/>
              </c:strCache>
            </c:strRef>
          </c:tx>
          <c:spPr>
            <a:ln w="12700">
              <a:solidFill>
                <a:schemeClr val="bg1">
                  <a:lumMod val="75000"/>
                </a:schemeClr>
              </a:solidFill>
            </a:ln>
          </c:spPr>
          <c:marker>
            <c:symbol val="none"/>
          </c:marker>
          <c:dLbls>
            <c:dLbl>
              <c:idx val="0"/>
              <c:delete val="1"/>
              <c:extLst>
                <c:ext xmlns:c15="http://schemas.microsoft.com/office/drawing/2012/chart" uri="{CE6537A1-D6FC-4f65-9D91-7224C49458BB}"/>
              </c:extLst>
            </c:dLbl>
            <c:spPr>
              <a:solidFill>
                <a:srgbClr val="FFFFFF"/>
              </a:solidFill>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DiagramCalcs!$D$94:$D$95</c:f>
              <c:numCache>
                <c:formatCode>General</c:formatCode>
                <c:ptCount val="2"/>
                <c:pt idx="0">
                  <c:v>-1</c:v>
                </c:pt>
                <c:pt idx="1">
                  <c:v>-1</c:v>
                </c:pt>
              </c:numCache>
            </c:numRef>
          </c:xVal>
          <c:yVal>
            <c:numRef>
              <c:f>DiagramCalcs!$E$94:$E$95</c:f>
              <c:numCache>
                <c:formatCode>General</c:formatCode>
                <c:ptCount val="2"/>
                <c:pt idx="0">
                  <c:v>-1</c:v>
                </c:pt>
                <c:pt idx="1">
                  <c:v>-1</c:v>
                </c:pt>
              </c:numCache>
            </c:numRef>
          </c:yVal>
          <c:smooth val="0"/>
        </c:ser>
        <c:ser>
          <c:idx val="26"/>
          <c:order val="2"/>
          <c:tx>
            <c:strRef>
              <c:f>DiagramCalcs!$A$90</c:f>
              <c:strCache>
                <c:ptCount val="1"/>
              </c:strCache>
            </c:strRef>
          </c:tx>
          <c:spPr>
            <a:ln w="6350">
              <a:solidFill>
                <a:schemeClr val="bg1">
                  <a:lumMod val="75000"/>
                </a:schemeClr>
              </a:solidFill>
            </a:ln>
          </c:spPr>
          <c:marker>
            <c:symbol val="none"/>
          </c:marker>
          <c:dLbls>
            <c:dLbl>
              <c:idx val="0"/>
              <c:spPr>
                <a:solidFill>
                  <a:srgbClr val="FFFFFF"/>
                </a:solidFill>
              </c:spPr>
              <c:txPr>
                <a:bodyPr rot="-5400000" vert="horz"/>
                <a:lstStyle/>
                <a:p>
                  <a:pPr>
                    <a:defRPr/>
                  </a:pPr>
                  <a:endParaRPr lang="en-US"/>
                </a:p>
              </c:txPr>
              <c:dLblPos val="b"/>
              <c:showLegendKey val="0"/>
              <c:showVal val="0"/>
              <c:showCatName val="0"/>
              <c:showSerName val="1"/>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spPr>
              <a:solidFill>
                <a:srgbClr val="FFFFFF"/>
              </a:solidFill>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DiagramCalcs!$D$90:$D$91</c:f>
              <c:numCache>
                <c:formatCode>General</c:formatCode>
                <c:ptCount val="2"/>
                <c:pt idx="0">
                  <c:v>-1</c:v>
                </c:pt>
                <c:pt idx="1">
                  <c:v>-1</c:v>
                </c:pt>
              </c:numCache>
            </c:numRef>
          </c:xVal>
          <c:yVal>
            <c:numRef>
              <c:f>DiagramCalcs!$E$90:$E$91</c:f>
              <c:numCache>
                <c:formatCode>General</c:formatCode>
                <c:ptCount val="2"/>
                <c:pt idx="0">
                  <c:v>-1</c:v>
                </c:pt>
                <c:pt idx="1">
                  <c:v>-1</c:v>
                </c:pt>
              </c:numCache>
            </c:numRef>
          </c:yVal>
          <c:smooth val="0"/>
        </c:ser>
        <c:ser>
          <c:idx val="2"/>
          <c:order val="3"/>
          <c:tx>
            <c:strRef>
              <c:f>DiagramCalcs!$A$30</c:f>
              <c:strCache>
                <c:ptCount val="1"/>
              </c:strCache>
            </c:strRef>
          </c:tx>
          <c:spPr>
            <a:ln w="25400">
              <a:solidFill>
                <a:srgbClr val="00FFFF"/>
              </a:solidFill>
              <a:prstDash val="lgDashDotDot"/>
            </a:ln>
          </c:spPr>
          <c:marker>
            <c:symbol val="none"/>
          </c:marker>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3"/>
              <c:delete val="1"/>
              <c:extLst>
                <c:ext xmlns:c15="http://schemas.microsoft.com/office/drawing/2012/chart" uri="{CE6537A1-D6FC-4f65-9D91-7224C49458BB}"/>
              </c:extLst>
            </c:dLbl>
            <c:dLbl>
              <c:idx val="4"/>
              <c:delete val="1"/>
              <c:extLst>
                <c:ext xmlns:c15="http://schemas.microsoft.com/office/drawing/2012/chart" uri="{CE6537A1-D6FC-4f65-9D91-7224C49458BB}"/>
              </c:extLst>
            </c:dLbl>
            <c:spPr>
              <a:solidFill>
                <a:srgbClr val="FFFFFF"/>
              </a:solidFill>
              <a:ln w="25400">
                <a:noFill/>
              </a:ln>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DiagramCalcs!$D$30:$D$34</c:f>
              <c:numCache>
                <c:formatCode>General</c:formatCode>
                <c:ptCount val="5"/>
                <c:pt idx="0">
                  <c:v>-1</c:v>
                </c:pt>
                <c:pt idx="1">
                  <c:v>-1</c:v>
                </c:pt>
                <c:pt idx="2">
                  <c:v>-1</c:v>
                </c:pt>
                <c:pt idx="3">
                  <c:v>-1</c:v>
                </c:pt>
                <c:pt idx="4">
                  <c:v>-1</c:v>
                </c:pt>
              </c:numCache>
            </c:numRef>
          </c:xVal>
          <c:yVal>
            <c:numRef>
              <c:f>DiagramCalcs!$E$30:$E$34</c:f>
              <c:numCache>
                <c:formatCode>General</c:formatCode>
                <c:ptCount val="5"/>
                <c:pt idx="0">
                  <c:v>-1</c:v>
                </c:pt>
                <c:pt idx="1">
                  <c:v>-1</c:v>
                </c:pt>
                <c:pt idx="2">
                  <c:v>-1</c:v>
                </c:pt>
                <c:pt idx="3">
                  <c:v>-1</c:v>
                </c:pt>
                <c:pt idx="4">
                  <c:v>-1</c:v>
                </c:pt>
              </c:numCache>
            </c:numRef>
          </c:yVal>
          <c:smooth val="0"/>
        </c:ser>
        <c:ser>
          <c:idx val="1"/>
          <c:order val="4"/>
          <c:tx>
            <c:strRef>
              <c:f>DiagramCalcs!$A$35</c:f>
              <c:strCache>
                <c:ptCount val="1"/>
              </c:strCache>
            </c:strRef>
          </c:tx>
          <c:spPr>
            <a:ln w="25400">
              <a:solidFill>
                <a:srgbClr val="FFFF00"/>
              </a:solidFill>
              <a:prstDash val="solid"/>
            </a:ln>
          </c:spPr>
          <c:marker>
            <c:symbol val="none"/>
          </c:marker>
          <c:dLbls>
            <c:dLbl>
              <c:idx val="1"/>
              <c:delete val="1"/>
              <c:extLst>
                <c:ext xmlns:c15="http://schemas.microsoft.com/office/drawing/2012/chart" uri="{CE6537A1-D6FC-4f65-9D91-7224C49458BB}"/>
              </c:extLst>
            </c:dLbl>
            <c:spPr>
              <a:noFill/>
              <a:ln w="25400">
                <a:noFill/>
              </a:ln>
            </c:spPr>
            <c:txPr>
              <a:bodyPr rot="-5400000" vert="horz"/>
              <a:lstStyle/>
              <a:p>
                <a:pPr algn="ct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DiagramCalcs!$D$35:$D$36</c:f>
              <c:numCache>
                <c:formatCode>General</c:formatCode>
                <c:ptCount val="2"/>
                <c:pt idx="0">
                  <c:v>-1</c:v>
                </c:pt>
                <c:pt idx="1">
                  <c:v>-1</c:v>
                </c:pt>
              </c:numCache>
            </c:numRef>
          </c:xVal>
          <c:yVal>
            <c:numRef>
              <c:f>DiagramCalcs!$E$35:$E$36</c:f>
              <c:numCache>
                <c:formatCode>General</c:formatCode>
                <c:ptCount val="2"/>
                <c:pt idx="0">
                  <c:v>-1</c:v>
                </c:pt>
                <c:pt idx="1">
                  <c:v>-1</c:v>
                </c:pt>
              </c:numCache>
            </c:numRef>
          </c:yVal>
          <c:smooth val="0"/>
        </c:ser>
        <c:ser>
          <c:idx val="27"/>
          <c:order val="5"/>
          <c:tx>
            <c:strRef>
              <c:f>DiagramCalcs!$A$92</c:f>
              <c:strCache>
                <c:ptCount val="1"/>
              </c:strCache>
            </c:strRef>
          </c:tx>
          <c:spPr>
            <a:ln w="6350">
              <a:solidFill>
                <a:srgbClr val="FFCC99"/>
              </a:solidFill>
            </a:ln>
          </c:spPr>
          <c:marker>
            <c:symbol val="none"/>
          </c:marker>
          <c:dLbls>
            <c:dLbl>
              <c:idx val="1"/>
              <c:delete val="1"/>
              <c:extLst>
                <c:ext xmlns:c15="http://schemas.microsoft.com/office/drawing/2012/chart" uri="{CE6537A1-D6FC-4f65-9D91-7224C49458BB}"/>
              </c:extLst>
            </c:dLbl>
            <c:spPr>
              <a:noFill/>
              <a:ln w="25400">
                <a:noFill/>
              </a:ln>
            </c:spPr>
            <c:txPr>
              <a:bodyPr rot="-5400000" vert="horz"/>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DiagramCalcs!$D$92:$D$93</c:f>
              <c:numCache>
                <c:formatCode>General</c:formatCode>
                <c:ptCount val="2"/>
                <c:pt idx="0">
                  <c:v>-1</c:v>
                </c:pt>
                <c:pt idx="1">
                  <c:v>-1</c:v>
                </c:pt>
              </c:numCache>
            </c:numRef>
          </c:xVal>
          <c:yVal>
            <c:numRef>
              <c:f>DiagramCalcs!$E$92:$E$93</c:f>
              <c:numCache>
                <c:formatCode>General</c:formatCode>
                <c:ptCount val="2"/>
                <c:pt idx="0">
                  <c:v>-1</c:v>
                </c:pt>
                <c:pt idx="1">
                  <c:v>-1</c:v>
                </c:pt>
              </c:numCache>
            </c:numRef>
          </c:yVal>
          <c:smooth val="0"/>
        </c:ser>
        <c:ser>
          <c:idx val="4"/>
          <c:order val="6"/>
          <c:tx>
            <c:strRef>
              <c:f>DiagramCalcs!$A$42</c:f>
              <c:strCache>
                <c:ptCount val="1"/>
              </c:strCache>
            </c:strRef>
          </c:tx>
          <c:spPr>
            <a:ln w="3175">
              <a:solidFill>
                <a:srgbClr val="333333"/>
              </a:solidFill>
              <a:prstDash val="solid"/>
            </a:ln>
          </c:spPr>
          <c:marker>
            <c:symbol val="none"/>
          </c:marker>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dLbl>
              <c:idx val="3"/>
              <c:layout>
                <c:manualLayout>
                  <c:x val="-9.4025018910125727E-2"/>
                  <c:y val="6.6101778016695242E-2"/>
                </c:manualLayout>
              </c:layout>
              <c:dLblPos val="r"/>
              <c:showLegendKey val="0"/>
              <c:showVal val="0"/>
              <c:showCatName val="0"/>
              <c:showSerName val="1"/>
              <c:showPercent val="0"/>
              <c:showBubbleSize val="0"/>
              <c:extLst>
                <c:ext xmlns:c15="http://schemas.microsoft.com/office/drawing/2012/chart" uri="{CE6537A1-D6FC-4f65-9D91-7224C49458BB}"/>
              </c:extLst>
            </c:dLbl>
            <c:dLbl>
              <c:idx val="4"/>
              <c:delete val="1"/>
              <c:extLst>
                <c:ext xmlns:c15="http://schemas.microsoft.com/office/drawing/2012/chart" uri="{CE6537A1-D6FC-4f65-9D91-7224C49458BB}"/>
              </c:extLst>
            </c:dLbl>
            <c:spPr>
              <a:solidFill>
                <a:srgbClr val="FFFFFF"/>
              </a:solidFill>
              <a:ln w="25400">
                <a:noFill/>
              </a:ln>
            </c:spPr>
            <c:txPr>
              <a:bodyPr rot="-5400000" vert="horz"/>
              <a:lstStyle/>
              <a:p>
                <a:pPr algn="ctr">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DiagramCalcs!$D$42:$D$46</c:f>
              <c:numCache>
                <c:formatCode>General</c:formatCode>
                <c:ptCount val="5"/>
                <c:pt idx="0">
                  <c:v>-1</c:v>
                </c:pt>
                <c:pt idx="1">
                  <c:v>-1</c:v>
                </c:pt>
                <c:pt idx="2">
                  <c:v>-1</c:v>
                </c:pt>
                <c:pt idx="3">
                  <c:v>-1</c:v>
                </c:pt>
                <c:pt idx="4">
                  <c:v>-1</c:v>
                </c:pt>
              </c:numCache>
            </c:numRef>
          </c:xVal>
          <c:yVal>
            <c:numRef>
              <c:f>DiagramCalcs!$E$42:$E$46</c:f>
              <c:numCache>
                <c:formatCode>General</c:formatCode>
                <c:ptCount val="5"/>
                <c:pt idx="0">
                  <c:v>-1</c:v>
                </c:pt>
                <c:pt idx="1">
                  <c:v>-1</c:v>
                </c:pt>
                <c:pt idx="2">
                  <c:v>-1</c:v>
                </c:pt>
                <c:pt idx="3">
                  <c:v>-1</c:v>
                </c:pt>
                <c:pt idx="4">
                  <c:v>-1</c:v>
                </c:pt>
              </c:numCache>
            </c:numRef>
          </c:yVal>
          <c:smooth val="0"/>
        </c:ser>
        <c:ser>
          <c:idx val="7"/>
          <c:order val="7"/>
          <c:tx>
            <c:strRef>
              <c:f>DiagramCalcs!$A$52</c:f>
              <c:strCache>
                <c:ptCount val="1"/>
              </c:strCache>
            </c:strRef>
          </c:tx>
          <c:spPr>
            <a:ln w="3175">
              <a:solidFill>
                <a:srgbClr val="808080"/>
              </a:solidFill>
              <a:prstDash val="sysDash"/>
            </a:ln>
          </c:spPr>
          <c:marker>
            <c:symbol val="none"/>
          </c:marker>
          <c:xVal>
            <c:numRef>
              <c:f>DiagramCalcs!$D$52:$D$56</c:f>
              <c:numCache>
                <c:formatCode>General</c:formatCode>
                <c:ptCount val="5"/>
                <c:pt idx="0">
                  <c:v>-1</c:v>
                </c:pt>
                <c:pt idx="1">
                  <c:v>-1</c:v>
                </c:pt>
                <c:pt idx="2">
                  <c:v>-1</c:v>
                </c:pt>
                <c:pt idx="3">
                  <c:v>-1</c:v>
                </c:pt>
                <c:pt idx="4">
                  <c:v>-1</c:v>
                </c:pt>
              </c:numCache>
            </c:numRef>
          </c:xVal>
          <c:yVal>
            <c:numRef>
              <c:f>DiagramCalcs!$E$52:$E$56</c:f>
              <c:numCache>
                <c:formatCode>General</c:formatCode>
                <c:ptCount val="5"/>
                <c:pt idx="0">
                  <c:v>-1</c:v>
                </c:pt>
                <c:pt idx="1">
                  <c:v>-1</c:v>
                </c:pt>
                <c:pt idx="2">
                  <c:v>-1</c:v>
                </c:pt>
                <c:pt idx="3">
                  <c:v>-1</c:v>
                </c:pt>
                <c:pt idx="4">
                  <c:v>-1</c:v>
                </c:pt>
              </c:numCache>
            </c:numRef>
          </c:yVal>
          <c:smooth val="0"/>
        </c:ser>
        <c:ser>
          <c:idx val="9"/>
          <c:order val="8"/>
          <c:tx>
            <c:strRef>
              <c:f>DiagramCalcs!$A$57</c:f>
              <c:strCache>
                <c:ptCount val="1"/>
              </c:strCache>
            </c:strRef>
          </c:tx>
          <c:spPr>
            <a:ln w="6350">
              <a:solidFill>
                <a:srgbClr val="FF0000"/>
              </a:solidFill>
              <a:prstDash val="solid"/>
            </a:ln>
          </c:spPr>
          <c:marker>
            <c:symbol val="none"/>
          </c:marker>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3"/>
              <c:delete val="1"/>
              <c:extLst>
                <c:ext xmlns:c15="http://schemas.microsoft.com/office/drawing/2012/chart" uri="{CE6537A1-D6FC-4f65-9D91-7224C49458BB}"/>
              </c:extLst>
            </c:dLbl>
            <c:dLbl>
              <c:idx val="4"/>
              <c:delete val="1"/>
              <c:extLst>
                <c:ext xmlns:c15="http://schemas.microsoft.com/office/drawing/2012/chart" uri="{CE6537A1-D6FC-4f65-9D91-7224C49458BB}"/>
              </c:extLst>
            </c:dLbl>
            <c:spPr>
              <a:solidFill>
                <a:srgbClr val="FFFFFF"/>
              </a:solidFill>
              <a:ln w="25400">
                <a:noFill/>
              </a:ln>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DiagramCalcs!$D$57:$D$60</c:f>
              <c:numCache>
                <c:formatCode>General</c:formatCode>
                <c:ptCount val="4"/>
                <c:pt idx="0">
                  <c:v>-1</c:v>
                </c:pt>
                <c:pt idx="1">
                  <c:v>-1</c:v>
                </c:pt>
                <c:pt idx="2">
                  <c:v>-1</c:v>
                </c:pt>
                <c:pt idx="3">
                  <c:v>-1</c:v>
                </c:pt>
              </c:numCache>
            </c:numRef>
          </c:xVal>
          <c:yVal>
            <c:numRef>
              <c:f>DiagramCalcs!$E$57:$E$60</c:f>
              <c:numCache>
                <c:formatCode>General</c:formatCode>
                <c:ptCount val="4"/>
                <c:pt idx="0">
                  <c:v>-1</c:v>
                </c:pt>
                <c:pt idx="1">
                  <c:v>-1</c:v>
                </c:pt>
                <c:pt idx="2">
                  <c:v>-1</c:v>
                </c:pt>
                <c:pt idx="3">
                  <c:v>-1</c:v>
                </c:pt>
              </c:numCache>
            </c:numRef>
          </c:yVal>
          <c:smooth val="0"/>
        </c:ser>
        <c:ser>
          <c:idx val="10"/>
          <c:order val="9"/>
          <c:tx>
            <c:strRef>
              <c:f>DiagramCalcs!$A$61</c:f>
              <c:strCache>
                <c:ptCount val="1"/>
              </c:strCache>
            </c:strRef>
          </c:tx>
          <c:spPr>
            <a:ln w="6350">
              <a:solidFill>
                <a:srgbClr val="FF0000"/>
              </a:solidFill>
              <a:prstDash val="sysDash"/>
            </a:ln>
          </c:spPr>
          <c:marker>
            <c:symbol val="none"/>
          </c:marker>
          <c:xVal>
            <c:numRef>
              <c:f>DiagramCalcs!$D$61:$D$64</c:f>
              <c:numCache>
                <c:formatCode>General</c:formatCode>
                <c:ptCount val="4"/>
                <c:pt idx="0">
                  <c:v>-1</c:v>
                </c:pt>
                <c:pt idx="1">
                  <c:v>-1</c:v>
                </c:pt>
                <c:pt idx="2">
                  <c:v>-1</c:v>
                </c:pt>
                <c:pt idx="3">
                  <c:v>-1</c:v>
                </c:pt>
              </c:numCache>
            </c:numRef>
          </c:xVal>
          <c:yVal>
            <c:numRef>
              <c:f>DiagramCalcs!$E$61:$E$64</c:f>
              <c:numCache>
                <c:formatCode>General</c:formatCode>
                <c:ptCount val="4"/>
                <c:pt idx="0">
                  <c:v>-1</c:v>
                </c:pt>
                <c:pt idx="1">
                  <c:v>-1</c:v>
                </c:pt>
                <c:pt idx="2">
                  <c:v>-1</c:v>
                </c:pt>
                <c:pt idx="3">
                  <c:v>-1</c:v>
                </c:pt>
              </c:numCache>
            </c:numRef>
          </c:yVal>
          <c:smooth val="0"/>
        </c:ser>
        <c:ser>
          <c:idx val="11"/>
          <c:order val="10"/>
          <c:tx>
            <c:strRef>
              <c:f>DiagramCalcs!$A$65</c:f>
              <c:strCache>
                <c:ptCount val="1"/>
              </c:strCache>
            </c:strRef>
          </c:tx>
          <c:spPr>
            <a:ln w="38100">
              <a:solidFill>
                <a:srgbClr val="008000"/>
              </a:solidFill>
              <a:prstDash val="sysDash"/>
            </a:ln>
          </c:spPr>
          <c:marker>
            <c:symbol val="none"/>
          </c:marker>
          <c:dLbls>
            <c:dLbl>
              <c:idx val="0"/>
              <c:delete val="1"/>
              <c:extLst>
                <c:ext xmlns:c15="http://schemas.microsoft.com/office/drawing/2012/chart" uri="{CE6537A1-D6FC-4f65-9D91-7224C49458BB}"/>
              </c:extLst>
            </c:dLbl>
            <c:dLbl>
              <c:idx val="2"/>
              <c:delete val="1"/>
              <c:extLst>
                <c:ext xmlns:c15="http://schemas.microsoft.com/office/drawing/2012/chart" uri="{CE6537A1-D6FC-4f65-9D91-7224C49458BB}"/>
              </c:extLst>
            </c:dLbl>
            <c:dLbl>
              <c:idx val="3"/>
              <c:delete val="1"/>
              <c:extLst>
                <c:ext xmlns:c15="http://schemas.microsoft.com/office/drawing/2012/chart" uri="{CE6537A1-D6FC-4f65-9D91-7224C49458BB}"/>
              </c:extLst>
            </c:dLbl>
            <c:dLbl>
              <c:idx val="4"/>
              <c:delete val="1"/>
              <c:extLst>
                <c:ext xmlns:c15="http://schemas.microsoft.com/office/drawing/2012/chart" uri="{CE6537A1-D6FC-4f65-9D91-7224C49458BB}"/>
              </c:extLst>
            </c:dLbl>
            <c:dLbl>
              <c:idx val="5"/>
              <c:delete val="1"/>
              <c:extLst>
                <c:ext xmlns:c15="http://schemas.microsoft.com/office/drawing/2012/chart" uri="{CE6537A1-D6FC-4f65-9D91-7224C49458BB}"/>
              </c:extLst>
            </c:dLbl>
            <c:dLbl>
              <c:idx val="6"/>
              <c:delete val="1"/>
              <c:extLst>
                <c:ext xmlns:c15="http://schemas.microsoft.com/office/drawing/2012/chart" uri="{CE6537A1-D6FC-4f65-9D91-7224C49458BB}"/>
              </c:extLst>
            </c:dLbl>
            <c:dLbl>
              <c:idx val="7"/>
              <c:delete val="1"/>
              <c:extLst>
                <c:ext xmlns:c15="http://schemas.microsoft.com/office/drawing/2012/chart" uri="{CE6537A1-D6FC-4f65-9D91-7224C49458BB}"/>
              </c:extLst>
            </c:dLbl>
            <c:dLbl>
              <c:idx val="8"/>
              <c:delete val="1"/>
              <c:extLst>
                <c:ext xmlns:c15="http://schemas.microsoft.com/office/drawing/2012/chart" uri="{CE6537A1-D6FC-4f65-9D91-7224C49458BB}"/>
              </c:extLst>
            </c:dLbl>
            <c:spPr>
              <a:solidFill>
                <a:schemeClr val="bg1"/>
              </a:solidFill>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DiagramCalcs!$D$65:$D$69</c:f>
              <c:numCache>
                <c:formatCode>General</c:formatCode>
                <c:ptCount val="5"/>
                <c:pt idx="0">
                  <c:v>-1</c:v>
                </c:pt>
                <c:pt idx="1">
                  <c:v>-1</c:v>
                </c:pt>
                <c:pt idx="2">
                  <c:v>-1</c:v>
                </c:pt>
                <c:pt idx="3">
                  <c:v>-1</c:v>
                </c:pt>
                <c:pt idx="4">
                  <c:v>-1</c:v>
                </c:pt>
              </c:numCache>
            </c:numRef>
          </c:xVal>
          <c:yVal>
            <c:numRef>
              <c:f>DiagramCalcs!$E$65:$E$69</c:f>
              <c:numCache>
                <c:formatCode>General</c:formatCode>
                <c:ptCount val="5"/>
                <c:pt idx="0">
                  <c:v>-1</c:v>
                </c:pt>
                <c:pt idx="1">
                  <c:v>-1</c:v>
                </c:pt>
                <c:pt idx="2">
                  <c:v>-1</c:v>
                </c:pt>
                <c:pt idx="3">
                  <c:v>-1</c:v>
                </c:pt>
                <c:pt idx="4">
                  <c:v>-1</c:v>
                </c:pt>
              </c:numCache>
            </c:numRef>
          </c:yVal>
          <c:smooth val="0"/>
        </c:ser>
        <c:ser>
          <c:idx val="12"/>
          <c:order val="11"/>
          <c:tx>
            <c:strRef>
              <c:f>DiagramCalcs!$A$74</c:f>
              <c:strCache>
                <c:ptCount val="1"/>
              </c:strCache>
            </c:strRef>
          </c:tx>
          <c:spPr>
            <a:ln w="38100">
              <a:solidFill>
                <a:srgbClr val="008000"/>
              </a:solidFill>
              <a:prstDash val="solid"/>
            </a:ln>
          </c:spPr>
          <c:marker>
            <c:symbol val="none"/>
          </c:marker>
          <c:dLbls>
            <c:dLbl>
              <c:idx val="0"/>
              <c:delete val="1"/>
              <c:extLst>
                <c:ext xmlns:c15="http://schemas.microsoft.com/office/drawing/2012/chart" uri="{CE6537A1-D6FC-4f65-9D91-7224C49458BB}"/>
              </c:extLst>
            </c:dLbl>
            <c:dLbl>
              <c:idx val="2"/>
              <c:delete val="1"/>
              <c:extLst>
                <c:ext xmlns:c15="http://schemas.microsoft.com/office/drawing/2012/chart" uri="{CE6537A1-D6FC-4f65-9D91-7224C49458BB}"/>
              </c:extLst>
            </c:dLbl>
            <c:dLbl>
              <c:idx val="3"/>
              <c:delete val="1"/>
              <c:extLst>
                <c:ext xmlns:c15="http://schemas.microsoft.com/office/drawing/2012/chart" uri="{CE6537A1-D6FC-4f65-9D91-7224C49458BB}"/>
              </c:extLst>
            </c:dLbl>
            <c:dLbl>
              <c:idx val="4"/>
              <c:delete val="1"/>
              <c:extLst>
                <c:ext xmlns:c15="http://schemas.microsoft.com/office/drawing/2012/chart" uri="{CE6537A1-D6FC-4f65-9D91-7224C49458BB}"/>
              </c:extLst>
            </c:dLbl>
            <c:dLbl>
              <c:idx val="5"/>
              <c:delete val="1"/>
              <c:extLst>
                <c:ext xmlns:c15="http://schemas.microsoft.com/office/drawing/2012/chart" uri="{CE6537A1-D6FC-4f65-9D91-7224C49458BB}"/>
              </c:extLst>
            </c:dLbl>
            <c:dLbl>
              <c:idx val="6"/>
              <c:delete val="1"/>
              <c:extLst>
                <c:ext xmlns:c15="http://schemas.microsoft.com/office/drawing/2012/chart" uri="{CE6537A1-D6FC-4f65-9D91-7224C49458BB}"/>
              </c:extLst>
            </c:dLbl>
            <c:dLbl>
              <c:idx val="7"/>
              <c:delete val="1"/>
              <c:extLst>
                <c:ext xmlns:c15="http://schemas.microsoft.com/office/drawing/2012/chart" uri="{CE6537A1-D6FC-4f65-9D91-7224C49458BB}"/>
              </c:extLst>
            </c:dLbl>
            <c:dLbl>
              <c:idx val="8"/>
              <c:delete val="1"/>
              <c:extLst>
                <c:ext xmlns:c15="http://schemas.microsoft.com/office/drawing/2012/chart" uri="{CE6537A1-D6FC-4f65-9D91-7224C49458BB}"/>
              </c:extLst>
            </c:dLbl>
            <c:spPr>
              <a:solidFill>
                <a:srgbClr val="FFFFFF"/>
              </a:solidFill>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DiagramCalcs!$D$74:$D$78</c:f>
              <c:numCache>
                <c:formatCode>General</c:formatCode>
                <c:ptCount val="5"/>
                <c:pt idx="0">
                  <c:v>-1</c:v>
                </c:pt>
                <c:pt idx="1">
                  <c:v>-1</c:v>
                </c:pt>
                <c:pt idx="2">
                  <c:v>-1</c:v>
                </c:pt>
                <c:pt idx="3">
                  <c:v>-1</c:v>
                </c:pt>
                <c:pt idx="4">
                  <c:v>-1</c:v>
                </c:pt>
              </c:numCache>
            </c:numRef>
          </c:xVal>
          <c:yVal>
            <c:numRef>
              <c:f>DiagramCalcs!$E$74:$E$78</c:f>
              <c:numCache>
                <c:formatCode>General</c:formatCode>
                <c:ptCount val="5"/>
                <c:pt idx="0">
                  <c:v>-1</c:v>
                </c:pt>
                <c:pt idx="1">
                  <c:v>-1</c:v>
                </c:pt>
                <c:pt idx="2">
                  <c:v>-1</c:v>
                </c:pt>
                <c:pt idx="3">
                  <c:v>-1</c:v>
                </c:pt>
                <c:pt idx="4">
                  <c:v>-1</c:v>
                </c:pt>
              </c:numCache>
            </c:numRef>
          </c:yVal>
          <c:smooth val="0"/>
        </c:ser>
        <c:ser>
          <c:idx val="17"/>
          <c:order val="12"/>
          <c:tx>
            <c:strRef>
              <c:f>DiagramCalcs!$A$96</c:f>
              <c:strCache>
                <c:ptCount val="1"/>
                <c:pt idx="0">
                  <c:v>ERROR! (See Above)</c:v>
                </c:pt>
              </c:strCache>
            </c:strRef>
          </c:tx>
          <c:spPr>
            <a:ln w="28575">
              <a:noFill/>
            </a:ln>
          </c:spPr>
          <c:marker>
            <c:symbol val="none"/>
          </c:marker>
          <c:dLbls>
            <c:spPr>
              <a:noFill/>
              <a:ln w="25400">
                <a:no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DiagramCalcs!$D$96</c:f>
              <c:numCache>
                <c:formatCode>General</c:formatCode>
                <c:ptCount val="1"/>
                <c:pt idx="0">
                  <c:v>700</c:v>
                </c:pt>
              </c:numCache>
            </c:numRef>
          </c:xVal>
          <c:yVal>
            <c:numRef>
              <c:f>DiagramCalcs!$E$96</c:f>
              <c:numCache>
                <c:formatCode>General</c:formatCode>
                <c:ptCount val="1"/>
                <c:pt idx="0">
                  <c:v>50</c:v>
                </c:pt>
              </c:numCache>
            </c:numRef>
          </c:yVal>
          <c:smooth val="0"/>
        </c:ser>
        <c:ser>
          <c:idx val="21"/>
          <c:order val="13"/>
          <c:tx>
            <c:strRef>
              <c:f>DiagramCalcs!$A$85</c:f>
              <c:strCache>
                <c:ptCount val="1"/>
              </c:strCache>
            </c:strRef>
          </c:tx>
          <c:spPr>
            <a:ln w="28575">
              <a:noFill/>
            </a:ln>
          </c:spPr>
          <c:marker>
            <c:symbol val="none"/>
          </c:marker>
          <c:xVal>
            <c:numRef>
              <c:f>DiagramCalcs!$D$85</c:f>
              <c:numCache>
                <c:formatCode>General</c:formatCode>
                <c:ptCount val="1"/>
                <c:pt idx="0">
                  <c:v>-1</c:v>
                </c:pt>
              </c:numCache>
            </c:numRef>
          </c:xVal>
          <c:yVal>
            <c:numRef>
              <c:f>DiagramCalcs!$E$85</c:f>
              <c:numCache>
                <c:formatCode>General</c:formatCode>
                <c:ptCount val="1"/>
                <c:pt idx="0">
                  <c:v>-1</c:v>
                </c:pt>
              </c:numCache>
            </c:numRef>
          </c:yVal>
          <c:smooth val="0"/>
        </c:ser>
        <c:ser>
          <c:idx val="22"/>
          <c:order val="14"/>
          <c:tx>
            <c:strRef>
              <c:f>DiagramCalcs!$A$86</c:f>
              <c:strCache>
                <c:ptCount val="1"/>
              </c:strCache>
            </c:strRef>
          </c:tx>
          <c:spPr>
            <a:ln w="28575">
              <a:noFill/>
            </a:ln>
          </c:spPr>
          <c:marker>
            <c:symbol val="none"/>
          </c:marker>
          <c:xVal>
            <c:numRef>
              <c:f>DiagramCalcs!$D$86</c:f>
              <c:numCache>
                <c:formatCode>General</c:formatCode>
                <c:ptCount val="1"/>
                <c:pt idx="0">
                  <c:v>-1</c:v>
                </c:pt>
              </c:numCache>
            </c:numRef>
          </c:xVal>
          <c:yVal>
            <c:numRef>
              <c:f>DiagramCalcs!$E$86</c:f>
              <c:numCache>
                <c:formatCode>General</c:formatCode>
                <c:ptCount val="1"/>
                <c:pt idx="0">
                  <c:v>-1</c:v>
                </c:pt>
              </c:numCache>
            </c:numRef>
          </c:yVal>
          <c:smooth val="0"/>
        </c:ser>
        <c:ser>
          <c:idx val="23"/>
          <c:order val="15"/>
          <c:tx>
            <c:strRef>
              <c:f>DiagramCalcs!$A$87</c:f>
              <c:strCache>
                <c:ptCount val="1"/>
              </c:strCache>
            </c:strRef>
          </c:tx>
          <c:spPr>
            <a:ln w="28575">
              <a:noFill/>
            </a:ln>
          </c:spPr>
          <c:marker>
            <c:symbol val="none"/>
          </c:marker>
          <c:xVal>
            <c:numRef>
              <c:f>DiagramCalcs!$D$87</c:f>
              <c:numCache>
                <c:formatCode>General</c:formatCode>
                <c:ptCount val="1"/>
                <c:pt idx="0">
                  <c:v>-1</c:v>
                </c:pt>
              </c:numCache>
            </c:numRef>
          </c:xVal>
          <c:yVal>
            <c:numRef>
              <c:f>DiagramCalcs!$E$87</c:f>
              <c:numCache>
                <c:formatCode>General</c:formatCode>
                <c:ptCount val="1"/>
                <c:pt idx="0">
                  <c:v>-1</c:v>
                </c:pt>
              </c:numCache>
            </c:numRef>
          </c:yVal>
          <c:smooth val="0"/>
        </c:ser>
        <c:ser>
          <c:idx val="24"/>
          <c:order val="16"/>
          <c:tx>
            <c:strRef>
              <c:f>DiagramCalcs!$A$88</c:f>
              <c:strCache>
                <c:ptCount val="1"/>
              </c:strCache>
            </c:strRef>
          </c:tx>
          <c:spPr>
            <a:ln w="28575">
              <a:noFill/>
            </a:ln>
          </c:spPr>
          <c:marker>
            <c:symbol val="none"/>
          </c:marker>
          <c:xVal>
            <c:numRef>
              <c:f>DiagramCalcs!$D$88</c:f>
              <c:numCache>
                <c:formatCode>General</c:formatCode>
                <c:ptCount val="1"/>
                <c:pt idx="0">
                  <c:v>-1</c:v>
                </c:pt>
              </c:numCache>
            </c:numRef>
          </c:xVal>
          <c:yVal>
            <c:numRef>
              <c:f>DiagramCalcs!$E$88</c:f>
              <c:numCache>
                <c:formatCode>General</c:formatCode>
                <c:ptCount val="1"/>
                <c:pt idx="0">
                  <c:v>-1</c:v>
                </c:pt>
              </c:numCache>
            </c:numRef>
          </c:yVal>
          <c:smooth val="0"/>
        </c:ser>
        <c:ser>
          <c:idx val="25"/>
          <c:order val="17"/>
          <c:tx>
            <c:strRef>
              <c:f>DiagramCalcs!$A$89</c:f>
              <c:strCache>
                <c:ptCount val="1"/>
              </c:strCache>
            </c:strRef>
          </c:tx>
          <c:spPr>
            <a:ln w="28575">
              <a:noFill/>
            </a:ln>
          </c:spPr>
          <c:marker>
            <c:symbol val="none"/>
          </c:marker>
          <c:xVal>
            <c:numRef>
              <c:f>DiagramCalcs!$D$89</c:f>
              <c:numCache>
                <c:formatCode>General</c:formatCode>
                <c:ptCount val="1"/>
                <c:pt idx="0">
                  <c:v>-1</c:v>
                </c:pt>
              </c:numCache>
            </c:numRef>
          </c:xVal>
          <c:yVal>
            <c:numRef>
              <c:f>DiagramCalcs!$E$89</c:f>
              <c:numCache>
                <c:formatCode>General</c:formatCode>
                <c:ptCount val="1"/>
                <c:pt idx="0">
                  <c:v>-1</c:v>
                </c:pt>
              </c:numCache>
            </c:numRef>
          </c:yVal>
          <c:smooth val="0"/>
        </c:ser>
        <c:ser>
          <c:idx val="5"/>
          <c:order val="18"/>
          <c:tx>
            <c:strRef>
              <c:f>DiagramCalcs!$A$83</c:f>
              <c:strCache>
                <c:ptCount val="1"/>
              </c:strCache>
            </c:strRef>
          </c:tx>
          <c:marker>
            <c:symbol val="none"/>
          </c:marker>
          <c:dLbls>
            <c:spPr>
              <a:solidFill>
                <a:sysClr val="window" lastClr="FFFFFF"/>
              </a:solidFill>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DiagramCalcs!$D$83</c:f>
              <c:numCache>
                <c:formatCode>General</c:formatCode>
                <c:ptCount val="1"/>
                <c:pt idx="0">
                  <c:v>-1</c:v>
                </c:pt>
              </c:numCache>
            </c:numRef>
          </c:xVal>
          <c:yVal>
            <c:numRef>
              <c:f>DiagramCalcs!$E$83</c:f>
              <c:numCache>
                <c:formatCode>General</c:formatCode>
                <c:ptCount val="1"/>
                <c:pt idx="0">
                  <c:v>-1</c:v>
                </c:pt>
              </c:numCache>
            </c:numRef>
          </c:yVal>
          <c:smooth val="0"/>
        </c:ser>
        <c:ser>
          <c:idx val="8"/>
          <c:order val="19"/>
          <c:tx>
            <c:strRef>
              <c:f>DiagramCalcs!$A$84</c:f>
              <c:strCache>
                <c:ptCount val="1"/>
              </c:strCache>
            </c:strRef>
          </c:tx>
          <c:marker>
            <c:symbol val="none"/>
          </c:marker>
          <c:dLbls>
            <c:spPr>
              <a:solidFill>
                <a:schemeClr val="bg1"/>
              </a:solidFill>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DiagramCalcs!$D$84</c:f>
              <c:numCache>
                <c:formatCode>General</c:formatCode>
                <c:ptCount val="1"/>
                <c:pt idx="0">
                  <c:v>-1</c:v>
                </c:pt>
              </c:numCache>
            </c:numRef>
          </c:xVal>
          <c:yVal>
            <c:numRef>
              <c:f>DiagramCalcs!$E$84</c:f>
              <c:numCache>
                <c:formatCode>General</c:formatCode>
                <c:ptCount val="1"/>
                <c:pt idx="0">
                  <c:v>-1</c:v>
                </c:pt>
              </c:numCache>
            </c:numRef>
          </c:yVal>
          <c:smooth val="0"/>
        </c:ser>
        <c:ser>
          <c:idx val="3"/>
          <c:order val="20"/>
          <c:tx>
            <c:strRef>
              <c:f>DiagramCalcs!$A$97</c:f>
              <c:strCache>
                <c:ptCount val="1"/>
              </c:strCache>
            </c:strRef>
          </c:tx>
          <c:marker>
            <c:symbol val="none"/>
          </c:marker>
          <c:dLbls>
            <c:spPr>
              <a:solidFill>
                <a:schemeClr val="bg1">
                  <a:lumMod val="85000"/>
                </a:schemeClr>
              </a:solidFill>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DiagramCalcs!$D$97</c:f>
              <c:numCache>
                <c:formatCode>General</c:formatCode>
                <c:ptCount val="1"/>
                <c:pt idx="0">
                  <c:v>-1</c:v>
                </c:pt>
              </c:numCache>
            </c:numRef>
          </c:xVal>
          <c:yVal>
            <c:numRef>
              <c:f>DiagramCalcs!$E$97</c:f>
              <c:numCache>
                <c:formatCode>General</c:formatCode>
                <c:ptCount val="1"/>
                <c:pt idx="0">
                  <c:v>-1</c:v>
                </c:pt>
              </c:numCache>
            </c:numRef>
          </c:yVal>
          <c:smooth val="0"/>
        </c:ser>
        <c:dLbls>
          <c:showLegendKey val="0"/>
          <c:showVal val="0"/>
          <c:showCatName val="0"/>
          <c:showSerName val="0"/>
          <c:showPercent val="0"/>
          <c:showBubbleSize val="0"/>
        </c:dLbls>
        <c:axId val="391996328"/>
        <c:axId val="391995152"/>
      </c:scatterChart>
      <c:valAx>
        <c:axId val="391996328"/>
        <c:scaling>
          <c:orientation val="minMax"/>
          <c:max val="1600"/>
          <c:min val="0"/>
        </c:scaling>
        <c:delete val="0"/>
        <c:axPos val="b"/>
        <c:majorGridlines>
          <c:spPr>
            <a:ln w="3175">
              <a:solidFill>
                <a:srgbClr val="969696">
                  <a:alpha val="35000"/>
                </a:srgbClr>
              </a:solidFill>
              <a:prstDash val="solid"/>
            </a:ln>
          </c:spPr>
        </c:majorGridlines>
        <c:minorGridlines>
          <c:spPr>
            <a:ln w="3175">
              <a:solidFill>
                <a:srgbClr val="C0C0C0">
                  <a:alpha val="25000"/>
                </a:srgbClr>
              </a:solidFill>
              <a:prstDash val="solid"/>
            </a:ln>
          </c:spPr>
        </c:minorGridlines>
        <c:title>
          <c:tx>
            <c:rich>
              <a:bodyPr/>
              <a:lstStyle/>
              <a:p>
                <a:pPr>
                  <a:defRPr/>
                </a:pPr>
                <a:r>
                  <a:rPr lang="en-US"/>
                  <a:t>Distance Upstream of Stop Bar (feet)</a:t>
                </a:r>
              </a:p>
            </c:rich>
          </c:tx>
          <c:layout>
            <c:manualLayout>
              <c:xMode val="edge"/>
              <c:yMode val="edge"/>
              <c:x val="0.41154822454358625"/>
              <c:y val="0.94453081364829583"/>
            </c:manualLayout>
          </c:layout>
          <c:overlay val="0"/>
          <c:spPr>
            <a:noFill/>
            <a:ln w="25400">
              <a:noFill/>
            </a:ln>
          </c:spPr>
        </c:title>
        <c:numFmt formatCode="0" sourceLinked="0"/>
        <c:majorTickMark val="out"/>
        <c:minorTickMark val="none"/>
        <c:tickLblPos val="nextTo"/>
        <c:spPr>
          <a:ln w="9525">
            <a:noFill/>
          </a:ln>
        </c:spPr>
        <c:txPr>
          <a:bodyPr rot="0" vert="horz"/>
          <a:lstStyle/>
          <a:p>
            <a:pPr>
              <a:defRPr/>
            </a:pPr>
            <a:endParaRPr lang="en-US"/>
          </a:p>
        </c:txPr>
        <c:crossAx val="391995152"/>
        <c:crossesAt val="0"/>
        <c:crossBetween val="midCat"/>
        <c:majorUnit val="100"/>
        <c:minorUnit val="20"/>
      </c:valAx>
      <c:valAx>
        <c:axId val="391995152"/>
        <c:scaling>
          <c:orientation val="minMax"/>
          <c:max val="100"/>
          <c:min val="0"/>
        </c:scaling>
        <c:delete val="0"/>
        <c:axPos val="l"/>
        <c:majorGridlines>
          <c:spPr>
            <a:ln w="3175">
              <a:solidFill>
                <a:srgbClr val="969696">
                  <a:alpha val="35000"/>
                </a:srgbClr>
              </a:solidFill>
              <a:prstDash val="solid"/>
            </a:ln>
          </c:spPr>
        </c:majorGridlines>
        <c:minorGridlines>
          <c:spPr>
            <a:ln>
              <a:solidFill>
                <a:srgbClr val="C0C0C0">
                  <a:alpha val="25000"/>
                </a:srgbClr>
              </a:solidFill>
            </a:ln>
          </c:spPr>
        </c:minorGridlines>
        <c:title>
          <c:tx>
            <c:rich>
              <a:bodyPr/>
              <a:lstStyle/>
              <a:p>
                <a:pPr>
                  <a:defRPr/>
                </a:pPr>
                <a:r>
                  <a:rPr lang="en-US"/>
                  <a:t>Speed (mph)</a:t>
                </a:r>
              </a:p>
            </c:rich>
          </c:tx>
          <c:layout>
            <c:manualLayout>
              <c:xMode val="edge"/>
              <c:yMode val="edge"/>
              <c:x val="1.9656109898802246E-2"/>
              <c:y val="0.48073994750656163"/>
            </c:manualLayout>
          </c:layout>
          <c:overlay val="0"/>
          <c:spPr>
            <a:noFill/>
            <a:ln w="25400">
              <a:noFill/>
            </a:ln>
          </c:spPr>
        </c:title>
        <c:numFmt formatCode="0" sourceLinked="0"/>
        <c:majorTickMark val="out"/>
        <c:minorTickMark val="none"/>
        <c:tickLblPos val="nextTo"/>
        <c:spPr>
          <a:ln w="9525">
            <a:noFill/>
          </a:ln>
        </c:spPr>
        <c:txPr>
          <a:bodyPr rot="0" vert="horz"/>
          <a:lstStyle/>
          <a:p>
            <a:pPr>
              <a:defRPr/>
            </a:pPr>
            <a:endParaRPr lang="en-US"/>
          </a:p>
        </c:txPr>
        <c:crossAx val="391996328"/>
        <c:crossesAt val="0"/>
        <c:crossBetween val="midCat"/>
        <c:majorUnit val="25"/>
        <c:minorUnit val="5"/>
      </c:valAx>
      <c:spPr>
        <a:noFill/>
        <a:ln w="25400">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8"/>
        <c:delete val="1"/>
      </c:legendEntry>
      <c:legendEntry>
        <c:idx val="19"/>
        <c:delete val="1"/>
      </c:legendEntry>
      <c:legendEntry>
        <c:idx val="20"/>
        <c:delete val="1"/>
      </c:legendEntry>
      <c:layout>
        <c:manualLayout>
          <c:xMode val="edge"/>
          <c:yMode val="edge"/>
          <c:x val="0.17019091791608237"/>
          <c:y val="9.5531758530183725E-2"/>
          <c:w val="0.70378068916306435"/>
          <c:h val="2.1384846894138228E-2"/>
        </c:manualLayout>
      </c:layout>
      <c:overlay val="0"/>
      <c:spPr>
        <a:noFill/>
        <a:ln w="25400">
          <a:noFill/>
        </a:ln>
      </c:spPr>
    </c:legend>
    <c:plotVisOnly val="1"/>
    <c:dispBlanksAs val="gap"/>
    <c:showDLblsOverMax val="0"/>
  </c:chart>
  <c:spPr>
    <a:solidFill>
      <a:srgbClr val="FFFFFF"/>
    </a:solidFill>
    <a:ln w="3175">
      <a:solidFill>
        <a:srgbClr val="000000"/>
      </a:solidFill>
      <a:prstDash val="solid"/>
    </a:ln>
  </c:spPr>
  <c:txPr>
    <a:bodyPr/>
    <a:lstStyle/>
    <a:p>
      <a:pPr>
        <a:defRPr sz="600" b="0" i="0" u="none" strike="noStrike" baseline="0">
          <a:solidFill>
            <a:srgbClr val="000000"/>
          </a:solidFill>
          <a:latin typeface="Century Gothic" pitchFamily="34" charset="0"/>
          <a:ea typeface="Times New Roman"/>
          <a:cs typeface="Times New Roman"/>
        </a:defRPr>
      </a:pPr>
      <a:endParaRPr lang="en-US"/>
    </a:p>
  </c:txPr>
  <c:printSettings>
    <c:headerFooter alignWithMargins="0"/>
    <c:pageMargins b="0.5" l="0.5" r="0.5" t="0.5" header="0.25" footer="0.25"/>
    <c:pageSetup orientation="landscape"/>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46</xdr:row>
      <xdr:rowOff>0</xdr:rowOff>
    </xdr:from>
    <xdr:to>
      <xdr:col>0</xdr:col>
      <xdr:colOff>0</xdr:colOff>
      <xdr:row>46</xdr:row>
      <xdr:rowOff>0</xdr:rowOff>
    </xdr:to>
    <xdr:sp macro="" textlink="">
      <xdr:nvSpPr>
        <xdr:cNvPr id="1180" name="Line 31"/>
        <xdr:cNvSpPr>
          <a:spLocks noChangeShapeType="1"/>
        </xdr:cNvSpPr>
      </xdr:nvSpPr>
      <xdr:spPr bwMode="auto">
        <a:xfrm>
          <a:off x="0" y="7286625"/>
          <a:ext cx="0" cy="0"/>
        </a:xfrm>
        <a:prstGeom prst="line">
          <a:avLst/>
        </a:prstGeom>
        <a:noFill/>
        <a:ln w="19050">
          <a:solidFill>
            <a:srgbClr val="000000"/>
          </a:solidFill>
          <a:round/>
          <a:headEnd/>
          <a:tailEnd/>
        </a:ln>
      </xdr:spPr>
    </xdr:sp>
    <xdr:clientData/>
  </xdr:twoCellAnchor>
  <xdr:twoCellAnchor>
    <xdr:from>
      <xdr:col>0</xdr:col>
      <xdr:colOff>9525</xdr:colOff>
      <xdr:row>45</xdr:row>
      <xdr:rowOff>38100</xdr:rowOff>
    </xdr:from>
    <xdr:to>
      <xdr:col>11</xdr:col>
      <xdr:colOff>657225</xdr:colOff>
      <xdr:row>88</xdr:row>
      <xdr:rowOff>123825</xdr:rowOff>
    </xdr:to>
    <xdr:graphicFrame macro="">
      <xdr:nvGraphicFramePr>
        <xdr:cNvPr id="1181" name="Chart 2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371475</xdr:colOff>
      <xdr:row>1</xdr:row>
      <xdr:rowOff>161924</xdr:rowOff>
    </xdr:from>
    <xdr:to>
      <xdr:col>18</xdr:col>
      <xdr:colOff>1743075</xdr:colOff>
      <xdr:row>3</xdr:row>
      <xdr:rowOff>57149</xdr:rowOff>
    </xdr:to>
    <xdr:sp macro="[0]!ResetTimingSheet" textlink="">
      <xdr:nvSpPr>
        <xdr:cNvPr id="6" name="TextBox 5"/>
        <xdr:cNvSpPr txBox="1"/>
      </xdr:nvSpPr>
      <xdr:spPr>
        <a:xfrm>
          <a:off x="10868025" y="342899"/>
          <a:ext cx="1371600" cy="257175"/>
        </a:xfrm>
        <a:prstGeom prst="rect">
          <a:avLst/>
        </a:prstGeom>
        <a:solidFill>
          <a:schemeClr val="bg1">
            <a:lumMod val="65000"/>
          </a:schemeClr>
        </a:solidFill>
        <a:ln/>
      </xdr:spPr>
      <xdr:style>
        <a:lnRef idx="0">
          <a:schemeClr val="accent5"/>
        </a:lnRef>
        <a:fillRef idx="3">
          <a:schemeClr val="accent5"/>
        </a:fillRef>
        <a:effectRef idx="3">
          <a:schemeClr val="accent5"/>
        </a:effectRef>
        <a:fontRef idx="minor">
          <a:schemeClr val="lt1"/>
        </a:fontRef>
      </xdr:style>
      <xdr:txBody>
        <a:bodyPr vertOverflow="clip" wrap="square" rtlCol="0" anchor="t"/>
        <a:lstStyle/>
        <a:p>
          <a:pPr algn="ctr"/>
          <a:r>
            <a:rPr lang="en-US" sz="1100" b="1">
              <a:solidFill>
                <a:sysClr val="windowText" lastClr="000000"/>
              </a:solidFill>
              <a:latin typeface="Century Gothic" pitchFamily="34" charset="0"/>
            </a:rPr>
            <a:t>Reset Form</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0.7471</cdr:x>
      <cdr:y>0.94702</cdr:y>
    </cdr:from>
    <cdr:to>
      <cdr:x>0.99312</cdr:x>
      <cdr:y>0.99231</cdr:y>
    </cdr:to>
    <cdr:sp macro="" textlink="">
      <cdr:nvSpPr>
        <cdr:cNvPr id="97282" name="Text Box 2"/>
        <cdr:cNvSpPr txBox="1">
          <a:spLocks xmlns:a="http://schemas.openxmlformats.org/drawingml/2006/main" noChangeArrowheads="1"/>
        </cdr:cNvSpPr>
      </cdr:nvSpPr>
      <cdr:spPr bwMode="auto">
        <a:xfrm xmlns:a="http://schemas.openxmlformats.org/drawingml/2006/main">
          <a:off x="6753226" y="6765274"/>
          <a:ext cx="2223810" cy="32354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27432" bIns="18288" anchor="b" upright="1"/>
        <a:lstStyle xmlns:a="http://schemas.openxmlformats.org/drawingml/2006/main"/>
        <a:p xmlns:a="http://schemas.openxmlformats.org/drawingml/2006/main">
          <a:pPr algn="r" rtl="0">
            <a:defRPr sz="1000"/>
          </a:pPr>
          <a:r>
            <a:rPr lang="en-US" sz="600" b="0" i="0" u="none" strike="noStrike" baseline="0">
              <a:solidFill>
                <a:srgbClr val="000000"/>
              </a:solidFill>
              <a:latin typeface="Century Gothic" pitchFamily="34" charset="0"/>
              <a:cs typeface="Times New Roman"/>
            </a:rPr>
            <a:t>UDOT Spreadsheet Revised 10/7/2016 MDL</a:t>
          </a:r>
        </a:p>
      </cdr:txBody>
    </cdr:sp>
  </cdr:relSizeAnchor>
</c:userShapes>
</file>

<file path=xl/drawings/drawing3.xml><?xml version="1.0" encoding="utf-8"?>
<xdr:wsDr xmlns:xdr="http://schemas.openxmlformats.org/drawingml/2006/spreadsheetDrawing" xmlns:a="http://schemas.openxmlformats.org/drawingml/2006/main">
  <xdr:twoCellAnchor>
    <xdr:from>
      <xdr:col>25</xdr:col>
      <xdr:colOff>361950</xdr:colOff>
      <xdr:row>0</xdr:row>
      <xdr:rowOff>295275</xdr:rowOff>
    </xdr:from>
    <xdr:to>
      <xdr:col>27</xdr:col>
      <xdr:colOff>514350</xdr:colOff>
      <xdr:row>1</xdr:row>
      <xdr:rowOff>142875</xdr:rowOff>
    </xdr:to>
    <xdr:sp macro="[0]!ResetDesignWorksheet" textlink="">
      <xdr:nvSpPr>
        <xdr:cNvPr id="2" name="TextBox 1"/>
        <xdr:cNvSpPr txBox="1"/>
      </xdr:nvSpPr>
      <xdr:spPr>
        <a:xfrm>
          <a:off x="7829550" y="295275"/>
          <a:ext cx="1371600" cy="257175"/>
        </a:xfrm>
        <a:prstGeom prst="rect">
          <a:avLst/>
        </a:prstGeom>
        <a:solidFill>
          <a:schemeClr val="bg1">
            <a:lumMod val="65000"/>
          </a:schemeClr>
        </a:solidFill>
        <a:ln/>
      </xdr:spPr>
      <xdr:style>
        <a:lnRef idx="0">
          <a:schemeClr val="accent5"/>
        </a:lnRef>
        <a:fillRef idx="3">
          <a:schemeClr val="accent5"/>
        </a:fillRef>
        <a:effectRef idx="3">
          <a:schemeClr val="accent5"/>
        </a:effectRef>
        <a:fontRef idx="minor">
          <a:schemeClr val="lt1"/>
        </a:fontRef>
      </xdr:style>
      <xdr:txBody>
        <a:bodyPr vertOverflow="clip" wrap="square" rtlCol="0" anchor="t"/>
        <a:lstStyle/>
        <a:p>
          <a:pPr algn="ctr"/>
          <a:r>
            <a:rPr lang="en-US" sz="1100" b="1">
              <a:solidFill>
                <a:sysClr val="windowText" lastClr="000000"/>
              </a:solidFill>
              <a:latin typeface="Century Gothic" pitchFamily="34" charset="0"/>
            </a:rPr>
            <a:t>Reset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87"/>
  <sheetViews>
    <sheetView tabSelected="1" zoomScaleNormal="100" workbookViewId="0">
      <selection activeCell="C4" sqref="C4"/>
    </sheetView>
  </sheetViews>
  <sheetFormatPr defaultRowHeight="13.5" x14ac:dyDescent="0.25"/>
  <cols>
    <col min="1" max="1" width="9.28515625" style="38" bestFit="1" customWidth="1"/>
    <col min="2" max="2" width="11" style="34" customWidth="1"/>
    <col min="3" max="3" width="10.42578125" style="34" customWidth="1"/>
    <col min="4" max="4" width="10" style="34" bestFit="1" customWidth="1"/>
    <col min="5" max="6" width="10.85546875" style="34" customWidth="1"/>
    <col min="7" max="8" width="9.28515625" style="34" bestFit="1" customWidth="1"/>
    <col min="9" max="9" width="9.85546875" style="34" bestFit="1" customWidth="1"/>
    <col min="10" max="10" width="9.140625" style="34"/>
    <col min="11" max="11" width="27.140625" style="34" customWidth="1"/>
    <col min="12" max="12" width="10.28515625" style="34" customWidth="1"/>
    <col min="13" max="13" width="1.5703125" style="34" customWidth="1"/>
    <col min="14" max="14" width="3.28515625" style="35" customWidth="1"/>
    <col min="15" max="16" width="4.28515625" style="34" customWidth="1"/>
    <col min="17" max="18" width="3.28515625" style="34" customWidth="1"/>
    <col min="19" max="19" width="81.85546875" style="34" customWidth="1"/>
    <col min="20" max="16384" width="9.140625" style="34"/>
  </cols>
  <sheetData>
    <row r="1" spans="1:14" ht="14.25" customHeight="1" x14ac:dyDescent="0.25">
      <c r="A1" s="142" t="s">
        <v>89</v>
      </c>
      <c r="B1" s="142"/>
      <c r="C1" s="142"/>
      <c r="D1" s="142"/>
      <c r="E1" s="142"/>
      <c r="F1" s="142"/>
      <c r="G1" s="142"/>
      <c r="H1" s="142"/>
      <c r="I1" s="142"/>
      <c r="J1" s="142"/>
      <c r="K1" s="142"/>
      <c r="L1" s="142"/>
    </row>
    <row r="2" spans="1:14" ht="14.25" customHeight="1" x14ac:dyDescent="0.25">
      <c r="A2" s="142"/>
      <c r="B2" s="142"/>
      <c r="C2" s="142"/>
      <c r="D2" s="142"/>
      <c r="E2" s="142"/>
      <c r="F2" s="142"/>
      <c r="G2" s="142"/>
      <c r="H2" s="142"/>
      <c r="I2" s="142"/>
      <c r="J2" s="142"/>
      <c r="K2" s="142"/>
      <c r="L2" s="142"/>
    </row>
    <row r="3" spans="1:14" ht="14.25" x14ac:dyDescent="0.3">
      <c r="A3" s="169" t="s">
        <v>131</v>
      </c>
      <c r="B3" s="169"/>
      <c r="C3" s="169"/>
      <c r="D3" s="169"/>
      <c r="E3" s="169"/>
      <c r="F3" s="169"/>
      <c r="G3" s="169"/>
      <c r="H3" s="169"/>
      <c r="I3" s="169"/>
      <c r="J3" s="169"/>
      <c r="K3" s="169"/>
      <c r="L3" s="169"/>
    </row>
    <row r="4" spans="1:14" ht="16.5" x14ac:dyDescent="0.3">
      <c r="A4" s="144" t="s">
        <v>85</v>
      </c>
      <c r="B4" s="145"/>
      <c r="C4" s="78"/>
      <c r="D4" s="121" t="s">
        <v>88</v>
      </c>
      <c r="E4" s="146"/>
      <c r="F4" s="146"/>
      <c r="G4" s="146"/>
      <c r="H4" s="146"/>
      <c r="I4" s="146"/>
      <c r="J4" s="122" t="s">
        <v>87</v>
      </c>
      <c r="K4" s="71"/>
      <c r="L4" s="36"/>
    </row>
    <row r="5" spans="1:14" ht="16.5" x14ac:dyDescent="0.3">
      <c r="A5" s="151" t="s">
        <v>116</v>
      </c>
      <c r="B5" s="144"/>
      <c r="C5" s="78"/>
      <c r="D5" s="121" t="s">
        <v>138</v>
      </c>
      <c r="E5" s="146"/>
      <c r="F5" s="146"/>
      <c r="G5" s="146"/>
      <c r="H5" s="146"/>
      <c r="I5" s="146"/>
      <c r="J5" s="122" t="s">
        <v>86</v>
      </c>
      <c r="K5" s="123"/>
      <c r="L5" s="36"/>
    </row>
    <row r="6" spans="1:14" ht="14.25" x14ac:dyDescent="0.3">
      <c r="A6" s="124"/>
      <c r="B6" s="124"/>
      <c r="C6" s="124"/>
      <c r="D6" s="124"/>
      <c r="E6" s="124"/>
      <c r="F6" s="124"/>
      <c r="G6" s="124"/>
      <c r="H6" s="124"/>
      <c r="I6" s="124"/>
      <c r="J6" s="124"/>
      <c r="K6" s="124"/>
      <c r="L6" s="124"/>
    </row>
    <row r="7" spans="1:14" x14ac:dyDescent="0.25">
      <c r="A7" s="148" t="s">
        <v>72</v>
      </c>
      <c r="B7" s="148"/>
      <c r="C7" s="37"/>
      <c r="D7" s="149" t="s">
        <v>73</v>
      </c>
      <c r="E7" s="149"/>
      <c r="F7" s="37"/>
      <c r="G7" s="150" t="s">
        <v>74</v>
      </c>
      <c r="H7" s="150"/>
      <c r="I7" s="150"/>
      <c r="J7" s="37"/>
      <c r="K7" s="126" t="s">
        <v>75</v>
      </c>
      <c r="L7" s="37"/>
      <c r="N7" s="34"/>
    </row>
    <row r="8" spans="1:14" ht="14.25" thickBot="1" x14ac:dyDescent="0.3"/>
    <row r="9" spans="1:14" ht="13.5" customHeight="1" x14ac:dyDescent="0.25">
      <c r="A9" s="170" t="s">
        <v>10</v>
      </c>
      <c r="B9" s="171"/>
      <c r="C9" s="171"/>
      <c r="D9" s="171"/>
      <c r="E9" s="171"/>
      <c r="F9" s="171"/>
      <c r="G9" s="171"/>
      <c r="H9" s="171"/>
      <c r="I9" s="171"/>
      <c r="J9" s="171"/>
      <c r="K9" s="171"/>
      <c r="L9" s="172"/>
    </row>
    <row r="10" spans="1:14" ht="13.5" customHeight="1" x14ac:dyDescent="0.25">
      <c r="A10" s="70"/>
      <c r="B10" s="183" t="s">
        <v>125</v>
      </c>
      <c r="C10" s="184"/>
      <c r="D10" s="184"/>
      <c r="E10" s="184"/>
      <c r="F10" s="184"/>
      <c r="G10" s="184"/>
      <c r="H10" s="184"/>
      <c r="I10" s="95">
        <f>DiagramCalcs!A5</f>
        <v>-10</v>
      </c>
      <c r="J10" s="174" t="s">
        <v>128</v>
      </c>
      <c r="K10" s="174"/>
      <c r="L10" s="174"/>
    </row>
    <row r="11" spans="1:14" x14ac:dyDescent="0.25">
      <c r="A11" s="127"/>
      <c r="B11" s="183" t="s">
        <v>126</v>
      </c>
      <c r="C11" s="184"/>
      <c r="D11" s="184"/>
      <c r="E11" s="184"/>
      <c r="F11" s="184"/>
      <c r="G11" s="184"/>
      <c r="H11" s="184"/>
      <c r="I11" s="95">
        <f>IF(OR(A11="",A11=0),A10,MIN(A10,A11))</f>
        <v>0</v>
      </c>
      <c r="J11" s="174" t="s">
        <v>127</v>
      </c>
      <c r="K11" s="174"/>
      <c r="L11" s="174"/>
    </row>
    <row r="12" spans="1:14" x14ac:dyDescent="0.25">
      <c r="A12" s="127"/>
      <c r="B12" s="174" t="s">
        <v>81</v>
      </c>
      <c r="C12" s="174"/>
      <c r="D12" s="174"/>
      <c r="E12" s="174"/>
      <c r="F12" s="174"/>
      <c r="G12" s="174"/>
      <c r="H12" s="174"/>
      <c r="I12" s="95">
        <f>IF(A12=0,I11-A26,A12)</f>
        <v>-21</v>
      </c>
      <c r="J12" s="174" t="s">
        <v>82</v>
      </c>
      <c r="K12" s="174"/>
      <c r="L12" s="174"/>
    </row>
    <row r="13" spans="1:14" x14ac:dyDescent="0.25">
      <c r="A13" s="68"/>
      <c r="B13" s="147" t="s">
        <v>9</v>
      </c>
      <c r="C13" s="147"/>
      <c r="D13" s="147"/>
      <c r="E13" s="147"/>
      <c r="F13" s="147"/>
      <c r="G13" s="147"/>
      <c r="H13" s="147"/>
      <c r="I13" s="147"/>
      <c r="J13" s="147"/>
      <c r="K13" s="147"/>
      <c r="L13" s="147"/>
    </row>
    <row r="14" spans="1:14" x14ac:dyDescent="0.25">
      <c r="A14" s="69"/>
      <c r="B14" s="174" t="s">
        <v>78</v>
      </c>
      <c r="C14" s="174"/>
      <c r="D14" s="174"/>
      <c r="E14" s="174"/>
      <c r="F14" s="174"/>
      <c r="G14" s="175" t="s">
        <v>21</v>
      </c>
      <c r="H14" s="175"/>
      <c r="I14" s="96">
        <f>CEILING(((($A$13+$A$25)*3600)/(5280*DiagramCalcs!$A$5))-$A$19,0.5)</f>
        <v>-4.5</v>
      </c>
      <c r="J14" s="173" t="str">
        <f>IF(A14&lt;&gt;I14,"You are not using the recommended LFT!","")</f>
        <v>You are not using the recommended LFT!</v>
      </c>
      <c r="K14" s="173"/>
      <c r="L14" s="173"/>
    </row>
    <row r="15" spans="1:14" x14ac:dyDescent="0.25">
      <c r="A15" s="127"/>
      <c r="B15" s="147" t="s">
        <v>79</v>
      </c>
      <c r="C15" s="147"/>
      <c r="D15" s="147"/>
      <c r="E15" s="147"/>
      <c r="F15" s="147"/>
      <c r="G15" s="147"/>
      <c r="H15" s="147"/>
      <c r="I15" s="147"/>
      <c r="J15" s="147"/>
      <c r="K15" s="147"/>
      <c r="L15" s="147"/>
    </row>
    <row r="16" spans="1:14" x14ac:dyDescent="0.25">
      <c r="A16" s="69"/>
      <c r="B16" s="154" t="s">
        <v>129</v>
      </c>
      <c r="C16" s="154"/>
      <c r="D16" s="154"/>
      <c r="E16" s="154"/>
      <c r="F16" s="154"/>
      <c r="G16" s="154"/>
      <c r="H16" s="154"/>
      <c r="I16" s="154"/>
      <c r="J16" s="154"/>
      <c r="K16" s="154"/>
      <c r="L16" s="154"/>
    </row>
    <row r="17" spans="1:14" x14ac:dyDescent="0.25">
      <c r="A17" s="69"/>
      <c r="B17" s="153" t="s">
        <v>77</v>
      </c>
      <c r="C17" s="153"/>
      <c r="D17" s="153"/>
      <c r="E17" s="153"/>
      <c r="F17" s="153"/>
      <c r="G17" s="153"/>
      <c r="H17" s="153"/>
      <c r="I17" s="153"/>
      <c r="J17" s="153"/>
      <c r="K17" s="152" t="str">
        <f>IF(A17="","Legacy","Extended Range")</f>
        <v>Legacy</v>
      </c>
      <c r="L17" s="152"/>
    </row>
    <row r="18" spans="1:14" ht="14.25" x14ac:dyDescent="0.3">
      <c r="A18" s="67">
        <f>IF(K17="Extended Range",A31,A30)</f>
        <v>600</v>
      </c>
      <c r="B18" s="147" t="s">
        <v>76</v>
      </c>
      <c r="C18" s="147"/>
      <c r="D18" s="147"/>
      <c r="E18" s="147"/>
      <c r="F18" s="147"/>
      <c r="G18" s="147"/>
      <c r="H18" s="147"/>
      <c r="I18" s="147"/>
      <c r="J18" s="147"/>
      <c r="K18" s="147"/>
      <c r="L18" s="147"/>
      <c r="N18" s="39"/>
    </row>
    <row r="19" spans="1:14" ht="14.25" x14ac:dyDescent="0.3">
      <c r="A19" s="67">
        <f>MROUND((0.04*I12)+0.94,0.1)</f>
        <v>0.1</v>
      </c>
      <c r="B19" s="143" t="s">
        <v>84</v>
      </c>
      <c r="C19" s="143"/>
      <c r="D19" s="143"/>
      <c r="E19" s="143"/>
      <c r="F19" s="143"/>
      <c r="G19" s="143"/>
      <c r="H19" s="143"/>
      <c r="I19" s="143"/>
      <c r="J19" s="143"/>
      <c r="K19" s="143"/>
      <c r="L19" s="143"/>
    </row>
    <row r="20" spans="1:14" ht="14.25" x14ac:dyDescent="0.3">
      <c r="A20" s="67">
        <f>MROUND((0.0464*I11)+2.9214,0.1)</f>
        <v>2.9000000000000004</v>
      </c>
      <c r="B20" s="143" t="str">
        <f>IF(K17="Extended Range","Upper boundary of Decision Dilemma Zone for cars, s","Upper boundary of Decision Dilemma Zone, s")</f>
        <v>Upper boundary of Decision Dilemma Zone, s</v>
      </c>
      <c r="C20" s="143"/>
      <c r="D20" s="143"/>
      <c r="E20" s="143"/>
      <c r="F20" s="143"/>
      <c r="G20" s="143"/>
      <c r="H20" s="143"/>
      <c r="I20" s="143"/>
      <c r="J20" s="143"/>
      <c r="K20" s="143"/>
      <c r="L20" s="143"/>
    </row>
    <row r="21" spans="1:14" ht="14.25" x14ac:dyDescent="0.3">
      <c r="A21" s="67" t="str">
        <f>IF(K17="Extended Range",MROUND((0.06*I11)+3.2714,0.1),"")</f>
        <v/>
      </c>
      <c r="B21" s="143" t="str">
        <f>IF(K17="Extended Range","Upper boundary of Decision Dilemma Zone for trucks, s","(not used with legacy Advance)")</f>
        <v>(not used with legacy Advance)</v>
      </c>
      <c r="C21" s="143"/>
      <c r="D21" s="143"/>
      <c r="E21" s="143"/>
      <c r="F21" s="143"/>
      <c r="G21" s="143"/>
      <c r="H21" s="143"/>
      <c r="I21" s="143"/>
      <c r="J21" s="143"/>
      <c r="K21" s="143"/>
      <c r="L21" s="143"/>
    </row>
    <row r="22" spans="1:14" s="42" customFormat="1" x14ac:dyDescent="0.25">
      <c r="A22" s="40"/>
      <c r="B22" s="41"/>
      <c r="C22" s="41"/>
      <c r="D22" s="41"/>
      <c r="E22" s="41"/>
      <c r="F22" s="41"/>
      <c r="G22" s="41"/>
      <c r="H22" s="41"/>
      <c r="I22" s="41"/>
      <c r="J22" s="41"/>
      <c r="K22" s="41"/>
      <c r="L22" s="41"/>
      <c r="N22" s="37"/>
    </row>
    <row r="23" spans="1:14" s="77" customFormat="1" ht="14.25" x14ac:dyDescent="0.3">
      <c r="A23" s="185" t="s">
        <v>11</v>
      </c>
      <c r="B23" s="185"/>
      <c r="C23" s="185"/>
      <c r="D23" s="185"/>
      <c r="E23" s="185"/>
      <c r="F23" s="185"/>
      <c r="G23" s="185"/>
      <c r="H23" s="185"/>
      <c r="I23" s="185"/>
      <c r="J23" s="185"/>
      <c r="K23" s="185"/>
      <c r="L23" s="185"/>
      <c r="N23" s="36"/>
    </row>
    <row r="24" spans="1:14" s="72" customFormat="1" ht="14.25" x14ac:dyDescent="0.3">
      <c r="A24" s="74">
        <v>125</v>
      </c>
      <c r="B24" s="147" t="s">
        <v>18</v>
      </c>
      <c r="C24" s="147"/>
      <c r="D24" s="147"/>
      <c r="E24" s="147"/>
      <c r="F24" s="147"/>
      <c r="G24" s="147"/>
      <c r="H24" s="147"/>
      <c r="I24" s="147"/>
      <c r="J24" s="147"/>
      <c r="K24" s="147"/>
      <c r="L24" s="147"/>
      <c r="N24" s="73"/>
    </row>
    <row r="25" spans="1:14" s="72" customFormat="1" ht="14.25" x14ac:dyDescent="0.3">
      <c r="A25" s="74">
        <v>70</v>
      </c>
      <c r="B25" s="147" t="s">
        <v>12</v>
      </c>
      <c r="C25" s="147"/>
      <c r="D25" s="147"/>
      <c r="E25" s="147"/>
      <c r="F25" s="147"/>
      <c r="G25" s="147"/>
      <c r="H25" s="147"/>
      <c r="I25" s="147"/>
      <c r="J25" s="147"/>
      <c r="K25" s="147"/>
      <c r="L25" s="147"/>
      <c r="N25" s="73"/>
    </row>
    <row r="26" spans="1:14" s="72" customFormat="1" ht="14.25" x14ac:dyDescent="0.3">
      <c r="A26" s="74">
        <v>21</v>
      </c>
      <c r="B26" s="147" t="s">
        <v>83</v>
      </c>
      <c r="C26" s="147"/>
      <c r="D26" s="147"/>
      <c r="E26" s="147"/>
      <c r="F26" s="147"/>
      <c r="G26" s="147"/>
      <c r="H26" s="147"/>
      <c r="I26" s="147"/>
      <c r="J26" s="147"/>
      <c r="K26" s="147"/>
      <c r="L26" s="147"/>
      <c r="N26" s="73"/>
    </row>
    <row r="27" spans="1:14" s="72" customFormat="1" ht="14.25" x14ac:dyDescent="0.3">
      <c r="A27" s="74">
        <v>10</v>
      </c>
      <c r="B27" s="147" t="s">
        <v>53</v>
      </c>
      <c r="C27" s="147"/>
      <c r="D27" s="147"/>
      <c r="E27" s="147"/>
      <c r="F27" s="147"/>
      <c r="G27" s="147"/>
      <c r="H27" s="147"/>
      <c r="I27" s="147"/>
      <c r="J27" s="147"/>
      <c r="K27" s="147"/>
      <c r="L27" s="147"/>
      <c r="N27" s="73"/>
    </row>
    <row r="28" spans="1:14" s="72" customFormat="1" ht="14.25" x14ac:dyDescent="0.3">
      <c r="A28" s="75">
        <v>3</v>
      </c>
      <c r="B28" s="147" t="s">
        <v>22</v>
      </c>
      <c r="C28" s="147"/>
      <c r="D28" s="147"/>
      <c r="E28" s="147"/>
      <c r="F28" s="147"/>
      <c r="G28" s="147"/>
      <c r="H28" s="147"/>
      <c r="I28" s="147"/>
      <c r="J28" s="147"/>
      <c r="K28" s="147"/>
      <c r="L28" s="147"/>
      <c r="N28" s="73"/>
    </row>
    <row r="29" spans="1:14" s="72" customFormat="1" ht="14.25" x14ac:dyDescent="0.3">
      <c r="A29" s="75">
        <v>10</v>
      </c>
      <c r="B29" s="147" t="s">
        <v>23</v>
      </c>
      <c r="C29" s="147"/>
      <c r="D29" s="147"/>
      <c r="E29" s="147"/>
      <c r="F29" s="147"/>
      <c r="G29" s="147"/>
      <c r="H29" s="147"/>
      <c r="I29" s="147"/>
      <c r="J29" s="147"/>
      <c r="K29" s="147"/>
      <c r="L29" s="147"/>
      <c r="N29" s="73"/>
    </row>
    <row r="30" spans="1:14" s="72" customFormat="1" ht="14.25" x14ac:dyDescent="0.3">
      <c r="A30" s="76">
        <v>600</v>
      </c>
      <c r="B30" s="147" t="s">
        <v>101</v>
      </c>
      <c r="C30" s="147"/>
      <c r="D30" s="147"/>
      <c r="E30" s="147"/>
      <c r="F30" s="147"/>
      <c r="G30" s="147"/>
      <c r="H30" s="147"/>
      <c r="I30" s="147"/>
      <c r="J30" s="147"/>
      <c r="K30" s="147"/>
      <c r="L30" s="147"/>
      <c r="N30" s="73"/>
    </row>
    <row r="31" spans="1:14" s="72" customFormat="1" ht="14.25" x14ac:dyDescent="0.3">
      <c r="A31" s="76">
        <v>900</v>
      </c>
      <c r="B31" s="147" t="s">
        <v>102</v>
      </c>
      <c r="C31" s="147"/>
      <c r="D31" s="147"/>
      <c r="E31" s="147"/>
      <c r="F31" s="147"/>
      <c r="G31" s="147"/>
      <c r="H31" s="147"/>
      <c r="I31" s="147"/>
      <c r="J31" s="147"/>
      <c r="K31" s="147"/>
      <c r="L31" s="147"/>
      <c r="N31" s="73"/>
    </row>
    <row r="32" spans="1:14" ht="14.25" thickBot="1" x14ac:dyDescent="0.3"/>
    <row r="33" spans="1:21" ht="14.25" thickBot="1" x14ac:dyDescent="0.3">
      <c r="A33" s="178" t="s">
        <v>20</v>
      </c>
      <c r="B33" s="179"/>
      <c r="C33" s="179"/>
      <c r="D33" s="179"/>
      <c r="E33" s="179"/>
      <c r="F33" s="179"/>
      <c r="G33" s="179"/>
      <c r="H33" s="179"/>
      <c r="I33" s="179"/>
      <c r="J33" s="179"/>
      <c r="K33" s="179"/>
      <c r="L33" s="180"/>
    </row>
    <row r="34" spans="1:21" x14ac:dyDescent="0.25">
      <c r="A34" s="181" t="s">
        <v>94</v>
      </c>
      <c r="B34" s="167" t="s">
        <v>25</v>
      </c>
      <c r="C34" s="176" t="s">
        <v>115</v>
      </c>
      <c r="D34" s="164" t="s">
        <v>97</v>
      </c>
      <c r="E34" s="165"/>
      <c r="F34" s="166" t="s">
        <v>95</v>
      </c>
      <c r="G34" s="165"/>
      <c r="H34" s="166" t="s">
        <v>96</v>
      </c>
      <c r="I34" s="165"/>
      <c r="J34" s="160" t="s">
        <v>6</v>
      </c>
      <c r="K34" s="160"/>
      <c r="L34" s="161"/>
    </row>
    <row r="35" spans="1:21" x14ac:dyDescent="0.25">
      <c r="A35" s="182"/>
      <c r="B35" s="168"/>
      <c r="C35" s="177"/>
      <c r="D35" s="97" t="s">
        <v>4</v>
      </c>
      <c r="E35" s="98" t="s">
        <v>5</v>
      </c>
      <c r="F35" s="99" t="s">
        <v>1</v>
      </c>
      <c r="G35" s="98" t="s">
        <v>2</v>
      </c>
      <c r="H35" s="99" t="s">
        <v>3</v>
      </c>
      <c r="I35" s="98" t="s">
        <v>2</v>
      </c>
      <c r="J35" s="162"/>
      <c r="K35" s="162"/>
      <c r="L35" s="163"/>
    </row>
    <row r="36" spans="1:21" x14ac:dyDescent="0.25">
      <c r="A36" s="100" t="str">
        <f>IF(K17="Extended Range","Priority","(not used)")</f>
        <v>(not used)</v>
      </c>
      <c r="B36" s="129" t="str">
        <f>IF(K17="Legacy","(not used)","Level 1")</f>
        <v>(not used)</v>
      </c>
      <c r="C36" s="101" t="str">
        <f>IF(K17="Extended Range","Use Jdgmt","(not used)")</f>
        <v>(not used)</v>
      </c>
      <c r="D36" s="130" t="str">
        <f>IF($K$17="Legacy","",D37)</f>
        <v/>
      </c>
      <c r="E36" s="131" t="str">
        <f t="shared" ref="E36:H36" si="0">IF($K$17="Legacy","",E37)</f>
        <v/>
      </c>
      <c r="F36" s="132" t="str">
        <f t="shared" si="0"/>
        <v/>
      </c>
      <c r="G36" s="131" t="str">
        <f t="shared" si="0"/>
        <v/>
      </c>
      <c r="H36" s="133" t="str">
        <f t="shared" si="0"/>
        <v/>
      </c>
      <c r="I36" s="134" t="str">
        <f>IF(K17="Legacy","",A21+A14)</f>
        <v/>
      </c>
      <c r="J36" s="155" t="str">
        <f>IF(K17="Extended Range","Trucks (not shown in chart below)","(not used with legacy Advance)")</f>
        <v>(not used with legacy Advance)</v>
      </c>
      <c r="K36" s="156"/>
      <c r="L36" s="157"/>
      <c r="T36" s="35"/>
      <c r="U36" s="35"/>
    </row>
    <row r="37" spans="1:21" x14ac:dyDescent="0.25">
      <c r="A37" s="100" t="str">
        <f>IF(K17="Extended Range","Priority","Normal")</f>
        <v>Normal</v>
      </c>
      <c r="B37" s="129" t="str">
        <f>IF(K17="Legacy","Alert 1","Level 2")</f>
        <v>Alert 1</v>
      </c>
      <c r="C37" s="102" t="s">
        <v>98</v>
      </c>
      <c r="D37" s="130">
        <f>MROUND(DiagramCalcs!$B$30,5)</f>
        <v>50</v>
      </c>
      <c r="E37" s="131">
        <f>MROUND(DiagramCalcs!$B$31,5)</f>
        <v>600</v>
      </c>
      <c r="F37" s="132">
        <f>ROUND((D37/H37)/(5280/3600),0)</f>
        <v>341</v>
      </c>
      <c r="G37" s="131">
        <f>MIN(ROUND((E37/I37)/(5280/3600),0),100)</f>
        <v>100</v>
      </c>
      <c r="H37" s="133">
        <f>A19+A14+A16</f>
        <v>0.1</v>
      </c>
      <c r="I37" s="134">
        <f>A20+A14</f>
        <v>2.9000000000000004</v>
      </c>
      <c r="J37" s="155" t="str">
        <f>IF(K17="Extended Range","Cars (these are shown in chart below)","")</f>
        <v/>
      </c>
      <c r="K37" s="156"/>
      <c r="L37" s="157"/>
      <c r="T37" s="35"/>
      <c r="U37" s="35"/>
    </row>
    <row r="38" spans="1:21" x14ac:dyDescent="0.25">
      <c r="B38" s="44"/>
      <c r="D38" s="44"/>
      <c r="E38" s="45"/>
      <c r="G38" s="46"/>
      <c r="H38" s="46"/>
      <c r="I38" s="47"/>
      <c r="N38" s="34"/>
    </row>
    <row r="39" spans="1:21" x14ac:dyDescent="0.25">
      <c r="A39" s="43"/>
      <c r="B39" s="158" t="s">
        <v>50</v>
      </c>
      <c r="C39" s="159"/>
      <c r="D39" s="159"/>
      <c r="E39" s="159"/>
      <c r="F39" s="159"/>
      <c r="G39" s="159"/>
      <c r="H39" s="159"/>
      <c r="I39" s="159"/>
      <c r="J39" s="159"/>
      <c r="K39" s="159"/>
      <c r="L39" s="159"/>
      <c r="N39" s="34"/>
    </row>
    <row r="40" spans="1:21" ht="14.25" customHeight="1" x14ac:dyDescent="0.25">
      <c r="A40" s="141" t="str">
        <f>IF(DiagramCalcs!A9=0,"Diagram has been drawn.",CONCATENATE(DiagramCalcs!A10,DiagramCalcs!A11,DiagramCalcs!A12,DiagramCalcs!A13,DiagramCalcs!A14,DiagramCalcs!A15,DiagramCalcs!A16,DiagramCalcs!A17,DiagramCalcs!A18,DiagramCalcs!A19,DiagramCalcs!A20,DiagramCalcs!A21,DiagramCalcs!A22,DiagramCalcs!A23,DiagramCalcs!A24,DiagramCalcs!A25))</f>
        <v>-AWS must be located in advance of stop bar.  -User must enter a value for phase passage time.  -Lead flash time must be greater than 0.  -85th-%ile speed must be at least 30mph.  -Calculated AWS design speed must be at least minimum speed of radar capability (assumed 3mph).  -Not enough radar coverage to track vehicles through entire dilemma zone at any speed</v>
      </c>
      <c r="B40" s="141"/>
      <c r="C40" s="141"/>
      <c r="D40" s="141"/>
      <c r="E40" s="141"/>
      <c r="F40" s="141"/>
      <c r="G40" s="141"/>
      <c r="H40" s="141"/>
      <c r="I40" s="141"/>
      <c r="J40" s="141"/>
      <c r="K40" s="141"/>
      <c r="L40" s="141"/>
    </row>
    <row r="41" spans="1:21" ht="14.25" customHeight="1" x14ac:dyDescent="0.25">
      <c r="A41" s="141"/>
      <c r="B41" s="141"/>
      <c r="C41" s="141"/>
      <c r="D41" s="141"/>
      <c r="E41" s="141"/>
      <c r="F41" s="141"/>
      <c r="G41" s="141"/>
      <c r="H41" s="141"/>
      <c r="I41" s="141"/>
      <c r="J41" s="141"/>
      <c r="K41" s="141"/>
      <c r="L41" s="141"/>
    </row>
    <row r="42" spans="1:21" ht="14.25" customHeight="1" x14ac:dyDescent="0.25">
      <c r="A42" s="141"/>
      <c r="B42" s="141"/>
      <c r="C42" s="141"/>
      <c r="D42" s="141"/>
      <c r="E42" s="141"/>
      <c r="F42" s="141"/>
      <c r="G42" s="141"/>
      <c r="H42" s="141"/>
      <c r="I42" s="141"/>
      <c r="J42" s="141"/>
      <c r="K42" s="141"/>
      <c r="L42" s="141"/>
    </row>
    <row r="43" spans="1:21" ht="14.25" customHeight="1" x14ac:dyDescent="0.25">
      <c r="A43" s="141"/>
      <c r="B43" s="141"/>
      <c r="C43" s="141"/>
      <c r="D43" s="141"/>
      <c r="E43" s="141"/>
      <c r="F43" s="141"/>
      <c r="G43" s="141"/>
      <c r="H43" s="141"/>
      <c r="I43" s="141"/>
      <c r="J43" s="141"/>
      <c r="K43" s="141"/>
      <c r="L43" s="141"/>
    </row>
    <row r="44" spans="1:21" ht="14.25" customHeight="1" x14ac:dyDescent="0.25">
      <c r="A44" s="141"/>
      <c r="B44" s="141"/>
      <c r="C44" s="141"/>
      <c r="D44" s="141"/>
      <c r="E44" s="141"/>
      <c r="F44" s="141"/>
      <c r="G44" s="141"/>
      <c r="H44" s="141"/>
      <c r="I44" s="141"/>
      <c r="J44" s="141"/>
      <c r="K44" s="141"/>
      <c r="L44" s="141"/>
    </row>
    <row r="45" spans="1:21" ht="14.25" customHeight="1" x14ac:dyDescent="0.25">
      <c r="A45" s="141"/>
      <c r="B45" s="141"/>
      <c r="C45" s="141"/>
      <c r="D45" s="141"/>
      <c r="E45" s="141"/>
      <c r="F45" s="141"/>
      <c r="G45" s="141"/>
      <c r="H45" s="141"/>
      <c r="I45" s="141"/>
      <c r="J45" s="141"/>
      <c r="K45" s="141"/>
      <c r="L45" s="141"/>
    </row>
    <row r="46" spans="1:21" ht="14.25" customHeight="1" x14ac:dyDescent="0.3">
      <c r="A46" s="48"/>
      <c r="B46" s="48"/>
      <c r="C46" s="48"/>
      <c r="D46" s="48"/>
      <c r="E46" s="48"/>
      <c r="F46" s="48"/>
      <c r="G46" s="48"/>
      <c r="H46" s="48"/>
      <c r="I46" s="48"/>
      <c r="J46" s="48"/>
      <c r="K46" s="48"/>
      <c r="L46" s="48"/>
    </row>
    <row r="47" spans="1:21" ht="14.25" customHeight="1" x14ac:dyDescent="0.25">
      <c r="A47" s="49"/>
      <c r="B47" s="49"/>
      <c r="C47" s="49"/>
      <c r="D47" s="50"/>
      <c r="E47" s="49"/>
      <c r="F47" s="49"/>
      <c r="G47" s="49"/>
      <c r="H47" s="50"/>
      <c r="I47" s="49"/>
      <c r="J47" s="49"/>
      <c r="K47" s="49"/>
      <c r="L47" s="49"/>
      <c r="N47" s="34"/>
    </row>
    <row r="48" spans="1:21" ht="14.25" customHeight="1" x14ac:dyDescent="0.25">
      <c r="A48" s="51"/>
      <c r="B48" s="52"/>
      <c r="C48" s="52"/>
      <c r="D48" s="52"/>
      <c r="E48" s="52"/>
      <c r="F48" s="52"/>
      <c r="G48" s="52"/>
      <c r="H48" s="52"/>
      <c r="I48" s="52"/>
      <c r="J48" s="52"/>
      <c r="K48" s="52"/>
      <c r="L48" s="52"/>
    </row>
    <row r="49" spans="1:14" ht="14.25" customHeight="1" x14ac:dyDescent="0.25">
      <c r="A49" s="53"/>
      <c r="B49" s="53"/>
      <c r="C49" s="53"/>
      <c r="D49" s="53"/>
      <c r="E49" s="53"/>
      <c r="F49" s="53"/>
      <c r="G49" s="53"/>
      <c r="H49" s="53"/>
      <c r="I49" s="53"/>
      <c r="J49" s="53"/>
      <c r="K49" s="53"/>
      <c r="L49" s="53"/>
    </row>
    <row r="50" spans="1:14" ht="14.25" customHeight="1" x14ac:dyDescent="0.25">
      <c r="A50" s="51"/>
      <c r="B50" s="49"/>
      <c r="C50" s="49"/>
      <c r="D50" s="49"/>
      <c r="E50" s="49"/>
      <c r="F50" s="49"/>
      <c r="G50" s="49"/>
      <c r="H50" s="49"/>
      <c r="I50" s="49"/>
      <c r="J50" s="49"/>
      <c r="K50" s="49"/>
      <c r="L50" s="49"/>
    </row>
    <row r="51" spans="1:14" ht="14.25" customHeight="1" x14ac:dyDescent="0.25">
      <c r="A51" s="51"/>
      <c r="B51" s="49"/>
      <c r="C51" s="49"/>
      <c r="D51" s="49"/>
      <c r="E51" s="49"/>
      <c r="F51" s="49"/>
      <c r="G51" s="49"/>
      <c r="H51" s="49"/>
      <c r="I51" s="49"/>
      <c r="J51" s="49"/>
      <c r="K51" s="49"/>
      <c r="L51" s="49"/>
    </row>
    <row r="52" spans="1:14" ht="14.25" customHeight="1" x14ac:dyDescent="0.25">
      <c r="A52" s="54"/>
      <c r="B52" s="49"/>
      <c r="C52" s="49"/>
      <c r="D52" s="49"/>
      <c r="E52" s="49"/>
      <c r="F52" s="49"/>
      <c r="G52" s="49"/>
      <c r="H52" s="49"/>
      <c r="I52" s="49"/>
      <c r="J52" s="49"/>
      <c r="K52" s="49"/>
      <c r="L52" s="55"/>
    </row>
    <row r="53" spans="1:14" ht="14.25" customHeight="1" x14ac:dyDescent="0.25">
      <c r="A53" s="54"/>
      <c r="B53" s="49"/>
      <c r="C53" s="49"/>
      <c r="D53" s="49"/>
      <c r="E53" s="49"/>
      <c r="F53" s="49"/>
      <c r="G53" s="49"/>
      <c r="H53" s="49"/>
      <c r="I53" s="49"/>
      <c r="J53" s="49"/>
      <c r="K53" s="49"/>
      <c r="L53" s="49"/>
    </row>
    <row r="54" spans="1:14" s="52" customFormat="1" ht="14.25" customHeight="1" x14ac:dyDescent="0.25">
      <c r="A54" s="51"/>
      <c r="B54" s="56"/>
      <c r="C54" s="56"/>
      <c r="D54" s="56"/>
      <c r="E54" s="56"/>
      <c r="F54" s="56"/>
      <c r="G54" s="56"/>
      <c r="N54" s="49"/>
    </row>
    <row r="55" spans="1:14" ht="14.25" customHeight="1" x14ac:dyDescent="0.25">
      <c r="A55" s="53"/>
      <c r="B55" s="53"/>
      <c r="C55" s="53"/>
      <c r="D55" s="53"/>
      <c r="E55" s="53"/>
      <c r="F55" s="53"/>
      <c r="G55" s="53"/>
      <c r="H55" s="53"/>
      <c r="I55" s="53"/>
      <c r="J55" s="53"/>
      <c r="K55" s="53"/>
      <c r="L55" s="53"/>
    </row>
    <row r="56" spans="1:14" ht="14.25" customHeight="1" x14ac:dyDescent="0.25">
      <c r="A56" s="51"/>
      <c r="B56" s="52"/>
      <c r="C56" s="57"/>
      <c r="D56" s="57"/>
      <c r="E56" s="57"/>
      <c r="F56" s="57"/>
      <c r="G56" s="57"/>
      <c r="H56" s="57"/>
      <c r="I56" s="57"/>
      <c r="J56" s="57"/>
      <c r="K56" s="57"/>
      <c r="L56" s="57"/>
    </row>
    <row r="57" spans="1:14" ht="14.25" customHeight="1" x14ac:dyDescent="0.25">
      <c r="A57" s="51"/>
      <c r="B57" s="52"/>
      <c r="C57" s="57"/>
      <c r="D57" s="57"/>
      <c r="E57" s="57"/>
      <c r="F57" s="57"/>
      <c r="G57" s="57"/>
      <c r="H57" s="57"/>
      <c r="I57" s="57"/>
      <c r="J57" s="57"/>
      <c r="K57" s="57"/>
      <c r="L57" s="57"/>
    </row>
    <row r="58" spans="1:14" ht="14.25" customHeight="1" x14ac:dyDescent="0.25">
      <c r="A58" s="51"/>
      <c r="B58" s="49"/>
      <c r="C58" s="49"/>
      <c r="D58" s="49"/>
      <c r="E58" s="49"/>
      <c r="F58" s="49"/>
      <c r="G58" s="49"/>
      <c r="H58" s="49"/>
      <c r="I58" s="49"/>
      <c r="J58" s="49"/>
      <c r="K58" s="49"/>
      <c r="L58" s="49"/>
    </row>
    <row r="59" spans="1:14" ht="14.25" customHeight="1" x14ac:dyDescent="0.25">
      <c r="A59" s="51"/>
      <c r="B59" s="49" t="s">
        <v>0</v>
      </c>
      <c r="C59" s="49"/>
      <c r="D59" s="49"/>
      <c r="E59" s="49"/>
      <c r="F59" s="49"/>
      <c r="G59" s="49"/>
      <c r="H59" s="49"/>
      <c r="I59" s="49"/>
      <c r="J59" s="49"/>
      <c r="K59" s="49"/>
      <c r="L59" s="49"/>
    </row>
    <row r="60" spans="1:14" ht="14.25" customHeight="1" x14ac:dyDescent="0.25">
      <c r="A60" s="51"/>
      <c r="B60" s="49"/>
      <c r="C60" s="49"/>
      <c r="D60" s="49"/>
      <c r="E60" s="49"/>
      <c r="F60" s="49"/>
      <c r="G60" s="49"/>
      <c r="H60" s="49"/>
      <c r="I60" s="49"/>
      <c r="J60" s="49"/>
      <c r="K60" s="49"/>
      <c r="L60" s="49"/>
    </row>
    <row r="61" spans="1:14" ht="14.25" customHeight="1" x14ac:dyDescent="0.25">
      <c r="A61" s="51"/>
      <c r="B61" s="49"/>
      <c r="C61" s="49"/>
      <c r="D61" s="49"/>
      <c r="E61" s="49"/>
      <c r="F61" s="49"/>
      <c r="G61" s="49"/>
      <c r="H61" s="49"/>
      <c r="I61" s="49"/>
      <c r="J61" s="49"/>
      <c r="K61" s="49"/>
      <c r="L61" s="49"/>
    </row>
    <row r="62" spans="1:14" ht="14.25" customHeight="1" x14ac:dyDescent="0.25">
      <c r="A62" s="54"/>
      <c r="B62" s="49"/>
      <c r="C62" s="49"/>
      <c r="D62" s="49"/>
      <c r="E62" s="49"/>
      <c r="F62" s="49"/>
      <c r="G62" s="49"/>
      <c r="H62" s="49"/>
      <c r="I62" s="49"/>
      <c r="J62" s="49"/>
      <c r="K62" s="49"/>
      <c r="L62" s="49"/>
    </row>
    <row r="63" spans="1:14" ht="14.25" customHeight="1" x14ac:dyDescent="0.25">
      <c r="A63" s="54"/>
      <c r="B63" s="49"/>
      <c r="C63" s="49"/>
      <c r="D63" s="49"/>
      <c r="E63" s="49"/>
      <c r="F63" s="49"/>
      <c r="G63" s="49"/>
      <c r="H63" s="49"/>
      <c r="I63" s="49"/>
      <c r="J63" s="49"/>
      <c r="K63" s="49"/>
      <c r="L63" s="49"/>
    </row>
    <row r="64" spans="1:14" ht="14.25" customHeight="1" x14ac:dyDescent="0.25">
      <c r="A64" s="51"/>
      <c r="B64" s="49"/>
      <c r="C64" s="49"/>
      <c r="D64" s="49"/>
      <c r="E64" s="49"/>
      <c r="F64" s="49"/>
      <c r="G64" s="49"/>
      <c r="H64" s="49"/>
      <c r="I64" s="49"/>
      <c r="J64" s="49"/>
      <c r="K64" s="49"/>
      <c r="L64" s="49"/>
    </row>
    <row r="65" spans="1:21" ht="14.25" customHeight="1" x14ac:dyDescent="0.25">
      <c r="A65" s="51"/>
      <c r="B65" s="49"/>
      <c r="C65" s="49"/>
      <c r="D65" s="49"/>
      <c r="E65" s="49"/>
      <c r="F65" s="49"/>
      <c r="G65" s="49"/>
      <c r="H65" s="49"/>
      <c r="I65" s="49"/>
      <c r="J65" s="49"/>
      <c r="K65" s="49"/>
      <c r="L65" s="49"/>
    </row>
    <row r="66" spans="1:21" ht="14.25" customHeight="1" x14ac:dyDescent="0.25">
      <c r="A66" s="51"/>
      <c r="B66" s="52"/>
      <c r="C66" s="52"/>
      <c r="D66" s="52"/>
      <c r="E66" s="52"/>
      <c r="F66" s="52"/>
      <c r="G66" s="52"/>
      <c r="H66" s="52"/>
      <c r="I66" s="52"/>
      <c r="J66" s="52"/>
      <c r="K66" s="52"/>
      <c r="L66" s="52"/>
    </row>
    <row r="67" spans="1:21" ht="14.25" customHeight="1" x14ac:dyDescent="0.25">
      <c r="A67" s="53"/>
      <c r="B67" s="53"/>
      <c r="C67" s="53"/>
      <c r="D67" s="53"/>
      <c r="E67" s="53"/>
      <c r="F67" s="53"/>
      <c r="G67" s="53"/>
      <c r="H67" s="53"/>
      <c r="I67" s="53"/>
      <c r="J67" s="53"/>
      <c r="K67" s="53"/>
      <c r="L67" s="53"/>
    </row>
    <row r="68" spans="1:21" ht="14.25" customHeight="1" x14ac:dyDescent="0.3">
      <c r="A68" s="51"/>
      <c r="B68" s="58"/>
      <c r="C68" s="49"/>
      <c r="D68" s="49"/>
      <c r="E68" s="49"/>
      <c r="F68" s="49"/>
      <c r="G68" s="49"/>
      <c r="H68" s="49"/>
      <c r="I68" s="57"/>
      <c r="J68" s="57"/>
      <c r="K68" s="57"/>
      <c r="L68" s="57"/>
    </row>
    <row r="69" spans="1:21" ht="14.25" customHeight="1" x14ac:dyDescent="0.3">
      <c r="A69" s="51"/>
      <c r="B69" s="58"/>
      <c r="C69" s="51"/>
      <c r="D69" s="51"/>
      <c r="E69" s="51"/>
      <c r="F69" s="51"/>
      <c r="G69" s="51"/>
      <c r="H69" s="51"/>
      <c r="I69" s="57"/>
      <c r="J69" s="57"/>
      <c r="K69" s="57"/>
      <c r="L69" s="57"/>
    </row>
    <row r="70" spans="1:21" ht="14.25" customHeight="1" x14ac:dyDescent="0.3">
      <c r="A70" s="51"/>
      <c r="B70" s="51"/>
      <c r="C70" s="59"/>
      <c r="D70" s="51"/>
      <c r="E70" s="51"/>
      <c r="F70" s="51"/>
      <c r="G70" s="54"/>
      <c r="H70" s="54"/>
      <c r="I70" s="60"/>
      <c r="J70" s="61"/>
      <c r="K70" s="61"/>
      <c r="L70" s="61"/>
      <c r="O70" s="35"/>
      <c r="P70" s="35"/>
      <c r="Q70" s="35"/>
      <c r="R70" s="35"/>
      <c r="S70" s="35"/>
      <c r="T70" s="35"/>
      <c r="U70" s="35"/>
    </row>
    <row r="71" spans="1:21" ht="14.25" customHeight="1" x14ac:dyDescent="0.3">
      <c r="A71" s="51"/>
      <c r="B71" s="51"/>
      <c r="C71" s="59"/>
      <c r="D71" s="59"/>
      <c r="E71" s="51"/>
      <c r="F71" s="51"/>
      <c r="G71" s="62"/>
      <c r="H71" s="62"/>
      <c r="I71" s="60"/>
      <c r="J71" s="61"/>
      <c r="K71" s="61"/>
      <c r="L71" s="61"/>
      <c r="O71" s="35"/>
      <c r="P71" s="35"/>
      <c r="Q71" s="35"/>
      <c r="R71" s="35"/>
      <c r="S71" s="35"/>
      <c r="T71" s="35"/>
      <c r="U71" s="35"/>
    </row>
    <row r="72" spans="1:21" ht="14.25" customHeight="1" x14ac:dyDescent="0.25">
      <c r="A72" s="51"/>
      <c r="B72" s="51"/>
      <c r="C72" s="52"/>
      <c r="D72" s="51"/>
      <c r="E72" s="63"/>
      <c r="F72" s="52"/>
      <c r="G72" s="54"/>
      <c r="H72" s="54"/>
      <c r="I72" s="64"/>
      <c r="J72" s="52"/>
      <c r="K72" s="52"/>
      <c r="L72" s="52"/>
    </row>
    <row r="73" spans="1:21" ht="14.25" customHeight="1" x14ac:dyDescent="0.25">
      <c r="A73" s="51"/>
      <c r="B73" s="51"/>
      <c r="C73" s="52"/>
      <c r="D73" s="51"/>
      <c r="E73" s="51"/>
      <c r="F73" s="51"/>
      <c r="G73" s="54"/>
      <c r="H73" s="54"/>
      <c r="I73" s="52"/>
      <c r="J73" s="52"/>
      <c r="K73" s="52"/>
      <c r="L73" s="52"/>
    </row>
    <row r="74" spans="1:21" ht="14.25" customHeight="1" x14ac:dyDescent="0.25">
      <c r="A74" s="51"/>
      <c r="B74" s="65"/>
      <c r="C74" s="49"/>
      <c r="D74" s="49"/>
      <c r="E74" s="49"/>
      <c r="F74" s="49"/>
      <c r="G74" s="49"/>
      <c r="H74" s="49"/>
      <c r="I74" s="49"/>
      <c r="J74" s="49"/>
      <c r="K74" s="49"/>
      <c r="L74" s="49"/>
    </row>
    <row r="75" spans="1:21" ht="14.25" customHeight="1" x14ac:dyDescent="0.25">
      <c r="A75" s="51"/>
      <c r="B75" s="51"/>
      <c r="C75" s="52"/>
      <c r="D75" s="51"/>
      <c r="E75" s="51"/>
      <c r="F75" s="51"/>
      <c r="G75" s="54"/>
      <c r="H75" s="54"/>
      <c r="I75" s="52"/>
      <c r="J75" s="52"/>
      <c r="K75" s="52"/>
      <c r="L75" s="52"/>
    </row>
    <row r="76" spans="1:21" ht="14.25" customHeight="1" x14ac:dyDescent="0.25">
      <c r="A76" s="66"/>
      <c r="B76" s="66"/>
      <c r="C76" s="66"/>
      <c r="D76" s="66"/>
      <c r="E76" s="66"/>
      <c r="F76" s="66"/>
      <c r="G76" s="66"/>
      <c r="H76" s="66"/>
      <c r="I76" s="66"/>
      <c r="J76" s="66"/>
      <c r="K76" s="66"/>
      <c r="L76" s="66"/>
    </row>
    <row r="77" spans="1:21" ht="14.25" customHeight="1" x14ac:dyDescent="0.25"/>
    <row r="78" spans="1:21" ht="14.25" customHeight="1" x14ac:dyDescent="0.25"/>
    <row r="79" spans="1:21" ht="14.25" customHeight="1" x14ac:dyDescent="0.25"/>
    <row r="80" spans="1:21"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sheetData>
  <sheetProtection sheet="1" objects="1" scenarios="1"/>
  <mergeCells count="49">
    <mergeCell ref="J11:L11"/>
    <mergeCell ref="B10:H10"/>
    <mergeCell ref="J10:L10"/>
    <mergeCell ref="A23:L23"/>
    <mergeCell ref="B30:L30"/>
    <mergeCell ref="B31:L31"/>
    <mergeCell ref="C34:C35"/>
    <mergeCell ref="H34:I34"/>
    <mergeCell ref="B25:L25"/>
    <mergeCell ref="A33:L33"/>
    <mergeCell ref="A34:A35"/>
    <mergeCell ref="B24:L24"/>
    <mergeCell ref="B29:L29"/>
    <mergeCell ref="B26:L26"/>
    <mergeCell ref="B27:L27"/>
    <mergeCell ref="A3:L3"/>
    <mergeCell ref="E4:I4"/>
    <mergeCell ref="B28:L28"/>
    <mergeCell ref="A9:L9"/>
    <mergeCell ref="B15:L15"/>
    <mergeCell ref="B21:L21"/>
    <mergeCell ref="J14:L14"/>
    <mergeCell ref="B14:F14"/>
    <mergeCell ref="B12:H12"/>
    <mergeCell ref="J12:L12"/>
    <mergeCell ref="G14:H14"/>
    <mergeCell ref="B11:H11"/>
    <mergeCell ref="J37:L37"/>
    <mergeCell ref="B39:L39"/>
    <mergeCell ref="J34:L35"/>
    <mergeCell ref="D34:E34"/>
    <mergeCell ref="F34:G34"/>
    <mergeCell ref="B34:B35"/>
    <mergeCell ref="A40:L45"/>
    <mergeCell ref="A1:L2"/>
    <mergeCell ref="B20:L20"/>
    <mergeCell ref="A4:B4"/>
    <mergeCell ref="E5:I5"/>
    <mergeCell ref="B13:L13"/>
    <mergeCell ref="A7:B7"/>
    <mergeCell ref="D7:E7"/>
    <mergeCell ref="G7:I7"/>
    <mergeCell ref="A5:B5"/>
    <mergeCell ref="B18:L18"/>
    <mergeCell ref="K17:L17"/>
    <mergeCell ref="B17:J17"/>
    <mergeCell ref="B19:L19"/>
    <mergeCell ref="B16:L16"/>
    <mergeCell ref="J36:L36"/>
  </mergeCells>
  <phoneticPr fontId="1" type="noConversion"/>
  <conditionalFormatting sqref="D37:I37">
    <cfRule type="cellIs" dxfId="34" priority="53" stopIfTrue="1" operator="equal">
      <formula>"Err"</formula>
    </cfRule>
  </conditionalFormatting>
  <conditionalFormatting sqref="A40:L45">
    <cfRule type="cellIs" dxfId="33" priority="40" stopIfTrue="1" operator="notEqual">
      <formula>"Diagram has been drawn."</formula>
    </cfRule>
    <cfRule type="cellIs" priority="54" stopIfTrue="1" operator="equal">
      <formula>"Diagram has been drawn."</formula>
    </cfRule>
  </conditionalFormatting>
  <conditionalFormatting sqref="A15">
    <cfRule type="cellIs" dxfId="32" priority="55" stopIfTrue="1" operator="notEqual">
      <formula>0</formula>
    </cfRule>
  </conditionalFormatting>
  <conditionalFormatting sqref="A27">
    <cfRule type="cellIs" dxfId="31" priority="57" stopIfTrue="1" operator="notEqual">
      <formula>10</formula>
    </cfRule>
  </conditionalFormatting>
  <conditionalFormatting sqref="A24">
    <cfRule type="cellIs" dxfId="30" priority="51" stopIfTrue="1" operator="notEqual">
      <formula>125</formula>
    </cfRule>
  </conditionalFormatting>
  <conditionalFormatting sqref="A28">
    <cfRule type="cellIs" dxfId="29" priority="47" stopIfTrue="1" operator="notEqual">
      <formula>3</formula>
    </cfRule>
  </conditionalFormatting>
  <conditionalFormatting sqref="A29">
    <cfRule type="cellIs" dxfId="28" priority="46" stopIfTrue="1" operator="notEqual">
      <formula>10</formula>
    </cfRule>
  </conditionalFormatting>
  <conditionalFormatting sqref="A25">
    <cfRule type="cellIs" dxfId="27" priority="43" stopIfTrue="1" operator="notEqual">
      <formula>70</formula>
    </cfRule>
  </conditionalFormatting>
  <conditionalFormatting sqref="A14">
    <cfRule type="cellIs" dxfId="26" priority="13" stopIfTrue="1" operator="notEqual">
      <formula>$I$14</formula>
    </cfRule>
  </conditionalFormatting>
  <conditionalFormatting sqref="A13">
    <cfRule type="cellIs" dxfId="25" priority="99" stopIfTrue="1" operator="greaterThan">
      <formula>900</formula>
    </cfRule>
    <cfRule type="cellIs" dxfId="24" priority="100" stopIfTrue="1" operator="notEqual">
      <formula>#REF!</formula>
    </cfRule>
  </conditionalFormatting>
  <conditionalFormatting sqref="I14">
    <cfRule type="cellIs" dxfId="23" priority="120" stopIfTrue="1" operator="notEqual">
      <formula>#REF!</formula>
    </cfRule>
  </conditionalFormatting>
  <conditionalFormatting sqref="J14:L14">
    <cfRule type="cellIs" dxfId="22" priority="9" operator="equal">
      <formula>""</formula>
    </cfRule>
  </conditionalFormatting>
  <conditionalFormatting sqref="A26">
    <cfRule type="cellIs" dxfId="21" priority="8" operator="notEqual">
      <formula>21</formula>
    </cfRule>
  </conditionalFormatting>
  <conditionalFormatting sqref="A30">
    <cfRule type="cellIs" dxfId="20" priority="5" operator="notEqual">
      <formula>600</formula>
    </cfRule>
  </conditionalFormatting>
  <conditionalFormatting sqref="A31">
    <cfRule type="cellIs" dxfId="19" priority="4" operator="notEqual">
      <formula>900</formula>
    </cfRule>
  </conditionalFormatting>
  <conditionalFormatting sqref="D36:I36">
    <cfRule type="cellIs" dxfId="18" priority="2" stopIfTrue="1" operator="equal">
      <formula>"Err"</formula>
    </cfRule>
  </conditionalFormatting>
  <conditionalFormatting sqref="B36 D36:I36">
    <cfRule type="expression" dxfId="17" priority="1">
      <formula>IF($K$17="Legacy",TRUE,FALSE)</formula>
    </cfRule>
  </conditionalFormatting>
  <printOptions horizontalCentered="1"/>
  <pageMargins left="0.5" right="0.5" top="0.5" bottom="0.5" header="0.5" footer="0.5"/>
  <pageSetup scale="85" fitToHeight="0" orientation="landscape" r:id="rId1"/>
  <headerFooter alignWithMargins="0"/>
  <rowBreaks count="1" manualBreakCount="1">
    <brk id="45" max="11" man="1"/>
  </row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V39"/>
  <sheetViews>
    <sheetView zoomScaleNormal="100" workbookViewId="0">
      <selection activeCell="C19" sqref="C19:M19"/>
    </sheetView>
  </sheetViews>
  <sheetFormatPr defaultRowHeight="13.5" x14ac:dyDescent="0.25"/>
  <cols>
    <col min="1" max="1" width="1.42578125" style="34" customWidth="1"/>
    <col min="2" max="2" width="9.28515625" style="38" bestFit="1" customWidth="1"/>
    <col min="3" max="3" width="11" style="34" customWidth="1"/>
    <col min="4" max="4" width="10.42578125" style="34" customWidth="1"/>
    <col min="5" max="5" width="10" style="34" bestFit="1" customWidth="1"/>
    <col min="6" max="7" width="10.85546875" style="34" customWidth="1"/>
    <col min="8" max="9" width="9.28515625" style="34" bestFit="1" customWidth="1"/>
    <col min="10" max="10" width="9.85546875" style="34" bestFit="1" customWidth="1"/>
    <col min="11" max="11" width="9.140625" style="34"/>
    <col min="12" max="12" width="27.140625" style="34" customWidth="1"/>
    <col min="13" max="13" width="10.28515625" style="34" customWidth="1"/>
    <col min="14" max="14" width="1.5703125" style="34" customWidth="1"/>
    <col min="15" max="15" width="3.28515625" style="35" customWidth="1"/>
    <col min="16" max="17" width="4.28515625" style="34" customWidth="1"/>
    <col min="18" max="19" width="3.28515625" style="34" customWidth="1"/>
    <col min="20" max="20" width="81.85546875" style="34" customWidth="1"/>
    <col min="21" max="16384" width="9.140625" style="34"/>
  </cols>
  <sheetData>
    <row r="1" spans="1:15" ht="14.25" customHeight="1" x14ac:dyDescent="0.25">
      <c r="A1" s="142" t="s">
        <v>89</v>
      </c>
      <c r="B1" s="142"/>
      <c r="C1" s="142"/>
      <c r="D1" s="142"/>
      <c r="E1" s="142"/>
      <c r="F1" s="142"/>
      <c r="G1" s="142"/>
      <c r="H1" s="142"/>
      <c r="I1" s="142"/>
      <c r="J1" s="142"/>
      <c r="K1" s="142"/>
      <c r="L1" s="142"/>
      <c r="M1" s="142"/>
    </row>
    <row r="2" spans="1:15" ht="14.25" customHeight="1" x14ac:dyDescent="0.25">
      <c r="A2" s="142"/>
      <c r="B2" s="142"/>
      <c r="C2" s="142"/>
      <c r="D2" s="142"/>
      <c r="E2" s="142"/>
      <c r="F2" s="142"/>
      <c r="G2" s="142"/>
      <c r="H2" s="142"/>
      <c r="I2" s="142"/>
      <c r="J2" s="142"/>
      <c r="K2" s="142"/>
      <c r="L2" s="142"/>
      <c r="M2" s="142"/>
    </row>
    <row r="3" spans="1:15" ht="15" thickBot="1" x14ac:dyDescent="0.35">
      <c r="A3" s="85"/>
      <c r="B3" s="223" t="s">
        <v>137</v>
      </c>
      <c r="C3" s="223"/>
      <c r="D3" s="223"/>
      <c r="E3" s="223"/>
      <c r="F3" s="223"/>
      <c r="G3" s="223"/>
      <c r="H3" s="223"/>
      <c r="I3" s="223"/>
      <c r="J3" s="223"/>
      <c r="K3" s="223"/>
      <c r="L3" s="223"/>
      <c r="M3" s="223"/>
    </row>
    <row r="4" spans="1:15" ht="17.25" thickBot="1" x14ac:dyDescent="0.35">
      <c r="A4" s="85"/>
      <c r="B4" s="224" t="s">
        <v>85</v>
      </c>
      <c r="C4" s="225"/>
      <c r="D4" s="114"/>
      <c r="E4" s="194" t="s">
        <v>88</v>
      </c>
      <c r="F4" s="195"/>
      <c r="G4" s="196"/>
      <c r="H4" s="196"/>
      <c r="I4" s="196"/>
      <c r="J4" s="197"/>
      <c r="K4" s="89" t="s">
        <v>87</v>
      </c>
      <c r="L4" s="115"/>
      <c r="M4" s="82"/>
    </row>
    <row r="5" spans="1:15" ht="17.25" thickBot="1" x14ac:dyDescent="0.35">
      <c r="A5" s="85"/>
      <c r="B5" s="226" t="s">
        <v>116</v>
      </c>
      <c r="C5" s="226"/>
      <c r="D5" s="114"/>
      <c r="E5" s="194"/>
      <c r="F5" s="198"/>
      <c r="G5" s="199"/>
      <c r="H5" s="199"/>
      <c r="I5" s="199"/>
      <c r="J5" s="200"/>
      <c r="K5" s="89" t="s">
        <v>86</v>
      </c>
      <c r="L5" s="116"/>
      <c r="M5" s="82"/>
    </row>
    <row r="6" spans="1:15" ht="14.25" x14ac:dyDescent="0.3">
      <c r="A6" s="85"/>
      <c r="B6" s="125"/>
      <c r="C6" s="125"/>
      <c r="D6" s="125"/>
      <c r="E6" s="125"/>
      <c r="F6" s="125"/>
      <c r="G6" s="125"/>
      <c r="H6" s="125"/>
      <c r="I6" s="125"/>
      <c r="J6" s="125"/>
      <c r="K6" s="125"/>
      <c r="L6" s="125"/>
      <c r="M6" s="125"/>
    </row>
    <row r="7" spans="1:15" x14ac:dyDescent="0.25">
      <c r="A7" s="85"/>
      <c r="B7" s="83"/>
      <c r="C7" s="83"/>
      <c r="D7" s="83"/>
      <c r="E7" s="84"/>
      <c r="F7" s="84"/>
      <c r="G7" s="83"/>
      <c r="H7" s="83"/>
      <c r="I7" s="83"/>
      <c r="J7" s="83"/>
      <c r="K7" s="83"/>
      <c r="L7" s="79"/>
      <c r="M7" s="83"/>
      <c r="O7" s="34"/>
    </row>
    <row r="8" spans="1:15" x14ac:dyDescent="0.25">
      <c r="A8" s="85"/>
      <c r="B8" s="79"/>
      <c r="C8" s="85"/>
      <c r="D8" s="85"/>
      <c r="E8" s="85"/>
      <c r="F8" s="85"/>
      <c r="G8" s="85"/>
      <c r="H8" s="85"/>
      <c r="I8" s="85"/>
      <c r="J8" s="85"/>
      <c r="K8" s="85"/>
      <c r="L8" s="85"/>
      <c r="M8" s="85"/>
    </row>
    <row r="9" spans="1:15" ht="13.5" customHeight="1" thickBot="1" x14ac:dyDescent="0.3">
      <c r="A9" s="188" t="s">
        <v>10</v>
      </c>
      <c r="B9" s="188"/>
      <c r="C9" s="188"/>
      <c r="D9" s="188"/>
      <c r="E9" s="188"/>
      <c r="F9" s="188"/>
      <c r="G9" s="188"/>
      <c r="H9" s="188"/>
      <c r="I9" s="188"/>
      <c r="J9" s="188"/>
      <c r="K9" s="188"/>
      <c r="L9" s="188"/>
      <c r="M9" s="189"/>
    </row>
    <row r="10" spans="1:15" ht="13.5" customHeight="1" thickBot="1" x14ac:dyDescent="0.3">
      <c r="A10" s="85"/>
      <c r="B10" s="117"/>
      <c r="C10" s="215" t="s">
        <v>125</v>
      </c>
      <c r="D10" s="216"/>
      <c r="E10" s="216"/>
      <c r="F10" s="216"/>
      <c r="G10" s="216"/>
      <c r="H10" s="216"/>
      <c r="I10" s="222"/>
      <c r="J10" s="103"/>
      <c r="K10" s="215" t="s">
        <v>128</v>
      </c>
      <c r="L10" s="216"/>
      <c r="M10" s="216"/>
    </row>
    <row r="11" spans="1:15" ht="14.25" thickBot="1" x14ac:dyDescent="0.3">
      <c r="A11" s="85"/>
      <c r="B11" s="117"/>
      <c r="C11" s="215" t="s">
        <v>126</v>
      </c>
      <c r="D11" s="216"/>
      <c r="E11" s="216"/>
      <c r="F11" s="216"/>
      <c r="G11" s="216"/>
      <c r="H11" s="216"/>
      <c r="I11" s="222"/>
      <c r="J11" s="103"/>
      <c r="K11" s="215" t="s">
        <v>127</v>
      </c>
      <c r="L11" s="216"/>
      <c r="M11" s="216"/>
    </row>
    <row r="12" spans="1:15" ht="14.25" thickBot="1" x14ac:dyDescent="0.3">
      <c r="A12" s="85"/>
      <c r="B12" s="117"/>
      <c r="C12" s="215" t="s">
        <v>81</v>
      </c>
      <c r="D12" s="216"/>
      <c r="E12" s="216"/>
      <c r="F12" s="216"/>
      <c r="G12" s="216"/>
      <c r="H12" s="216"/>
      <c r="I12" s="222"/>
      <c r="J12" s="103"/>
      <c r="K12" s="215" t="s">
        <v>82</v>
      </c>
      <c r="L12" s="216"/>
      <c r="M12" s="216"/>
    </row>
    <row r="13" spans="1:15" ht="14.25" thickBot="1" x14ac:dyDescent="0.3">
      <c r="A13" s="85"/>
      <c r="B13" s="117"/>
      <c r="C13" s="190" t="s">
        <v>9</v>
      </c>
      <c r="D13" s="191"/>
      <c r="E13" s="191"/>
      <c r="F13" s="191"/>
      <c r="G13" s="191"/>
      <c r="H13" s="191"/>
      <c r="I13" s="191"/>
      <c r="J13" s="214"/>
      <c r="K13" s="191"/>
      <c r="L13" s="191"/>
      <c r="M13" s="191"/>
    </row>
    <row r="14" spans="1:15" ht="14.25" thickBot="1" x14ac:dyDescent="0.3">
      <c r="A14" s="85"/>
      <c r="B14" s="81"/>
      <c r="C14" s="215" t="s">
        <v>78</v>
      </c>
      <c r="D14" s="216"/>
      <c r="E14" s="216"/>
      <c r="F14" s="216"/>
      <c r="G14" s="216"/>
      <c r="H14" s="217" t="s">
        <v>21</v>
      </c>
      <c r="I14" s="218"/>
      <c r="J14" s="104"/>
      <c r="K14" s="219" t="str">
        <f>IF(B14&lt;&gt;J14,"You are not using the recommended LFT!","")</f>
        <v/>
      </c>
      <c r="L14" s="220"/>
      <c r="M14" s="220"/>
    </row>
    <row r="15" spans="1:15" ht="14.25" thickBot="1" x14ac:dyDescent="0.3">
      <c r="A15" s="85"/>
      <c r="B15" s="117"/>
      <c r="C15" s="190" t="s">
        <v>79</v>
      </c>
      <c r="D15" s="191"/>
      <c r="E15" s="191"/>
      <c r="F15" s="191"/>
      <c r="G15" s="191"/>
      <c r="H15" s="191"/>
      <c r="I15" s="191"/>
      <c r="J15" s="221"/>
      <c r="K15" s="191"/>
      <c r="L15" s="191"/>
      <c r="M15" s="191"/>
    </row>
    <row r="16" spans="1:15" ht="14.25" thickBot="1" x14ac:dyDescent="0.3">
      <c r="A16" s="85"/>
      <c r="B16" s="81"/>
      <c r="C16" s="190" t="s">
        <v>80</v>
      </c>
      <c r="D16" s="191"/>
      <c r="E16" s="191"/>
      <c r="F16" s="191"/>
      <c r="G16" s="191"/>
      <c r="H16" s="191"/>
      <c r="I16" s="191"/>
      <c r="J16" s="191"/>
      <c r="K16" s="191"/>
      <c r="L16" s="191"/>
      <c r="M16" s="191"/>
    </row>
    <row r="17" spans="1:15" ht="14.25" thickBot="1" x14ac:dyDescent="0.3">
      <c r="A17" s="85"/>
      <c r="B17" s="81"/>
      <c r="C17" s="215" t="s">
        <v>77</v>
      </c>
      <c r="D17" s="216"/>
      <c r="E17" s="216"/>
      <c r="F17" s="216"/>
      <c r="G17" s="216"/>
      <c r="H17" s="216"/>
      <c r="I17" s="216"/>
      <c r="J17" s="216"/>
      <c r="K17" s="216"/>
      <c r="L17" s="217"/>
      <c r="M17" s="217"/>
    </row>
    <row r="18" spans="1:15" ht="15" thickBot="1" x14ac:dyDescent="0.35">
      <c r="A18" s="85"/>
      <c r="B18" s="80"/>
      <c r="C18" s="190" t="s">
        <v>76</v>
      </c>
      <c r="D18" s="191"/>
      <c r="E18" s="191"/>
      <c r="F18" s="191"/>
      <c r="G18" s="191"/>
      <c r="H18" s="191"/>
      <c r="I18" s="191"/>
      <c r="J18" s="191"/>
      <c r="K18" s="191"/>
      <c r="L18" s="191"/>
      <c r="M18" s="191"/>
      <c r="O18" s="39"/>
    </row>
    <row r="19" spans="1:15" ht="15" thickBot="1" x14ac:dyDescent="0.35">
      <c r="A19" s="85"/>
      <c r="B19" s="80"/>
      <c r="C19" s="212" t="s">
        <v>84</v>
      </c>
      <c r="D19" s="213"/>
      <c r="E19" s="213"/>
      <c r="F19" s="213"/>
      <c r="G19" s="213"/>
      <c r="H19" s="213"/>
      <c r="I19" s="213"/>
      <c r="J19" s="213"/>
      <c r="K19" s="213"/>
      <c r="L19" s="213"/>
      <c r="M19" s="213"/>
    </row>
    <row r="20" spans="1:15" ht="15" thickBot="1" x14ac:dyDescent="0.35">
      <c r="A20" s="85"/>
      <c r="B20" s="80"/>
      <c r="C20" s="212" t="s">
        <v>133</v>
      </c>
      <c r="D20" s="213"/>
      <c r="E20" s="213"/>
      <c r="F20" s="213"/>
      <c r="G20" s="213"/>
      <c r="H20" s="213"/>
      <c r="I20" s="213"/>
      <c r="J20" s="213"/>
      <c r="K20" s="213"/>
      <c r="L20" s="213"/>
      <c r="M20" s="213"/>
    </row>
    <row r="21" spans="1:15" ht="15" thickBot="1" x14ac:dyDescent="0.35">
      <c r="A21" s="85"/>
      <c r="B21" s="80"/>
      <c r="C21" s="212" t="s">
        <v>134</v>
      </c>
      <c r="D21" s="213"/>
      <c r="E21" s="213"/>
      <c r="F21" s="213"/>
      <c r="G21" s="213"/>
      <c r="H21" s="213"/>
      <c r="I21" s="213"/>
      <c r="J21" s="213"/>
      <c r="K21" s="213"/>
      <c r="L21" s="213"/>
      <c r="M21" s="213"/>
    </row>
    <row r="22" spans="1:15" s="42" customFormat="1" x14ac:dyDescent="0.25">
      <c r="A22" s="85"/>
      <c r="B22" s="87"/>
      <c r="C22" s="88"/>
      <c r="D22" s="88"/>
      <c r="E22" s="88"/>
      <c r="F22" s="88"/>
      <c r="G22" s="88"/>
      <c r="H22" s="88"/>
      <c r="I22" s="88"/>
      <c r="J22" s="88"/>
      <c r="K22" s="88"/>
      <c r="L22" s="88"/>
      <c r="M22" s="88"/>
      <c r="O22" s="37"/>
    </row>
    <row r="23" spans="1:15" s="77" customFormat="1" ht="15" thickBot="1" x14ac:dyDescent="0.35">
      <c r="A23" s="188" t="s">
        <v>11</v>
      </c>
      <c r="B23" s="188"/>
      <c r="C23" s="188"/>
      <c r="D23" s="188"/>
      <c r="E23" s="188"/>
      <c r="F23" s="188"/>
      <c r="G23" s="188"/>
      <c r="H23" s="188"/>
      <c r="I23" s="188"/>
      <c r="J23" s="188"/>
      <c r="K23" s="188"/>
      <c r="L23" s="188"/>
      <c r="M23" s="201"/>
      <c r="O23" s="36"/>
    </row>
    <row r="24" spans="1:15" s="72" customFormat="1" ht="15" thickBot="1" x14ac:dyDescent="0.35">
      <c r="A24" s="86"/>
      <c r="B24" s="118">
        <v>125</v>
      </c>
      <c r="C24" s="190" t="s">
        <v>18</v>
      </c>
      <c r="D24" s="191"/>
      <c r="E24" s="191"/>
      <c r="F24" s="191"/>
      <c r="G24" s="191"/>
      <c r="H24" s="191"/>
      <c r="I24" s="191"/>
      <c r="J24" s="191"/>
      <c r="K24" s="191"/>
      <c r="L24" s="191"/>
      <c r="M24" s="191"/>
      <c r="O24" s="73"/>
    </row>
    <row r="25" spans="1:15" s="72" customFormat="1" ht="15" thickBot="1" x14ac:dyDescent="0.35">
      <c r="A25" s="86"/>
      <c r="B25" s="118">
        <v>70</v>
      </c>
      <c r="C25" s="190" t="s">
        <v>12</v>
      </c>
      <c r="D25" s="191"/>
      <c r="E25" s="191"/>
      <c r="F25" s="191"/>
      <c r="G25" s="191"/>
      <c r="H25" s="191"/>
      <c r="I25" s="191"/>
      <c r="J25" s="191"/>
      <c r="K25" s="191"/>
      <c r="L25" s="191"/>
      <c r="M25" s="191"/>
      <c r="O25" s="73"/>
    </row>
    <row r="26" spans="1:15" s="72" customFormat="1" ht="15" thickBot="1" x14ac:dyDescent="0.35">
      <c r="A26" s="86"/>
      <c r="B26" s="118">
        <v>21</v>
      </c>
      <c r="C26" s="190" t="s">
        <v>83</v>
      </c>
      <c r="D26" s="191"/>
      <c r="E26" s="191"/>
      <c r="F26" s="191"/>
      <c r="G26" s="191"/>
      <c r="H26" s="191"/>
      <c r="I26" s="191"/>
      <c r="J26" s="191"/>
      <c r="K26" s="191"/>
      <c r="L26" s="191"/>
      <c r="M26" s="191"/>
      <c r="O26" s="73"/>
    </row>
    <row r="27" spans="1:15" s="72" customFormat="1" ht="15" thickBot="1" x14ac:dyDescent="0.35">
      <c r="A27" s="86"/>
      <c r="B27" s="118">
        <v>10</v>
      </c>
      <c r="C27" s="190" t="s">
        <v>53</v>
      </c>
      <c r="D27" s="191"/>
      <c r="E27" s="191"/>
      <c r="F27" s="191"/>
      <c r="G27" s="191"/>
      <c r="H27" s="191"/>
      <c r="I27" s="191"/>
      <c r="J27" s="191"/>
      <c r="K27" s="191"/>
      <c r="L27" s="191"/>
      <c r="M27" s="191"/>
      <c r="O27" s="73"/>
    </row>
    <row r="28" spans="1:15" s="72" customFormat="1" ht="15" thickBot="1" x14ac:dyDescent="0.35">
      <c r="A28" s="86"/>
      <c r="B28" s="119">
        <v>3</v>
      </c>
      <c r="C28" s="190" t="s">
        <v>22</v>
      </c>
      <c r="D28" s="191"/>
      <c r="E28" s="191"/>
      <c r="F28" s="191"/>
      <c r="G28" s="191"/>
      <c r="H28" s="191"/>
      <c r="I28" s="191"/>
      <c r="J28" s="191"/>
      <c r="K28" s="191"/>
      <c r="L28" s="191"/>
      <c r="M28" s="191"/>
      <c r="O28" s="73"/>
    </row>
    <row r="29" spans="1:15" s="72" customFormat="1" ht="15" thickBot="1" x14ac:dyDescent="0.35">
      <c r="A29" s="86"/>
      <c r="B29" s="119">
        <v>10</v>
      </c>
      <c r="C29" s="190" t="s">
        <v>23</v>
      </c>
      <c r="D29" s="191"/>
      <c r="E29" s="191"/>
      <c r="F29" s="191"/>
      <c r="G29" s="191"/>
      <c r="H29" s="191"/>
      <c r="I29" s="191"/>
      <c r="J29" s="191"/>
      <c r="K29" s="191"/>
      <c r="L29" s="191"/>
      <c r="M29" s="191"/>
      <c r="O29" s="73"/>
    </row>
    <row r="30" spans="1:15" s="72" customFormat="1" ht="15" thickBot="1" x14ac:dyDescent="0.35">
      <c r="A30" s="86"/>
      <c r="B30" s="120">
        <v>600</v>
      </c>
      <c r="C30" s="190" t="s">
        <v>101</v>
      </c>
      <c r="D30" s="191"/>
      <c r="E30" s="191"/>
      <c r="F30" s="191"/>
      <c r="G30" s="191"/>
      <c r="H30" s="191"/>
      <c r="I30" s="191"/>
      <c r="J30" s="191"/>
      <c r="K30" s="191"/>
      <c r="L30" s="191"/>
      <c r="M30" s="191"/>
      <c r="O30" s="73"/>
    </row>
    <row r="31" spans="1:15" s="72" customFormat="1" ht="15" thickBot="1" x14ac:dyDescent="0.35">
      <c r="A31" s="86"/>
      <c r="B31" s="120">
        <v>900</v>
      </c>
      <c r="C31" s="190" t="s">
        <v>102</v>
      </c>
      <c r="D31" s="191"/>
      <c r="E31" s="191"/>
      <c r="F31" s="191"/>
      <c r="G31" s="191"/>
      <c r="H31" s="191"/>
      <c r="I31" s="191"/>
      <c r="J31" s="191"/>
      <c r="K31" s="191"/>
      <c r="L31" s="191"/>
      <c r="M31" s="191"/>
      <c r="O31" s="73"/>
    </row>
    <row r="32" spans="1:15" x14ac:dyDescent="0.25">
      <c r="A32" s="85"/>
      <c r="B32" s="79"/>
      <c r="C32" s="85"/>
      <c r="D32" s="85"/>
      <c r="E32" s="85"/>
      <c r="F32" s="85"/>
      <c r="G32" s="85"/>
      <c r="H32" s="85"/>
      <c r="I32" s="85"/>
      <c r="J32" s="85"/>
      <c r="K32" s="85"/>
      <c r="L32" s="85"/>
      <c r="M32" s="85"/>
    </row>
    <row r="33" spans="1:22" ht="14.25" thickBot="1" x14ac:dyDescent="0.3">
      <c r="A33" s="188" t="s">
        <v>20</v>
      </c>
      <c r="B33" s="188"/>
      <c r="C33" s="188"/>
      <c r="D33" s="188"/>
      <c r="E33" s="188"/>
      <c r="F33" s="188"/>
      <c r="G33" s="188"/>
      <c r="H33" s="188"/>
      <c r="I33" s="188"/>
      <c r="J33" s="188"/>
      <c r="K33" s="188"/>
      <c r="L33" s="188"/>
      <c r="M33" s="189"/>
    </row>
    <row r="34" spans="1:22" x14ac:dyDescent="0.25">
      <c r="A34" s="85"/>
      <c r="B34" s="202" t="s">
        <v>94</v>
      </c>
      <c r="C34" s="203" t="s">
        <v>25</v>
      </c>
      <c r="D34" s="205" t="s">
        <v>115</v>
      </c>
      <c r="E34" s="207" t="s">
        <v>97</v>
      </c>
      <c r="F34" s="187"/>
      <c r="G34" s="186" t="s">
        <v>95</v>
      </c>
      <c r="H34" s="187"/>
      <c r="I34" s="186" t="s">
        <v>96</v>
      </c>
      <c r="J34" s="187"/>
      <c r="K34" s="208" t="s">
        <v>6</v>
      </c>
      <c r="L34" s="208"/>
      <c r="M34" s="209"/>
    </row>
    <row r="35" spans="1:22" ht="14.25" thickBot="1" x14ac:dyDescent="0.3">
      <c r="A35" s="85"/>
      <c r="B35" s="202"/>
      <c r="C35" s="204"/>
      <c r="D35" s="206"/>
      <c r="E35" s="105" t="s">
        <v>4</v>
      </c>
      <c r="F35" s="106" t="s">
        <v>5</v>
      </c>
      <c r="G35" s="107" t="s">
        <v>1</v>
      </c>
      <c r="H35" s="106" t="s">
        <v>2</v>
      </c>
      <c r="I35" s="107" t="s">
        <v>3</v>
      </c>
      <c r="J35" s="106" t="s">
        <v>2</v>
      </c>
      <c r="K35" s="210"/>
      <c r="L35" s="210"/>
      <c r="M35" s="211"/>
    </row>
    <row r="36" spans="1:22" ht="14.25" thickBot="1" x14ac:dyDescent="0.3">
      <c r="A36" s="85"/>
      <c r="B36" s="108" t="str">
        <f>IF(L17="Extended Range","Priority","Normal")</f>
        <v>Normal</v>
      </c>
      <c r="C36" s="109"/>
      <c r="D36" s="110"/>
      <c r="E36" s="111"/>
      <c r="F36" s="109"/>
      <c r="G36" s="109"/>
      <c r="H36" s="109"/>
      <c r="I36" s="112"/>
      <c r="J36" s="112"/>
      <c r="K36" s="192" t="s">
        <v>135</v>
      </c>
      <c r="L36" s="192"/>
      <c r="M36" s="193"/>
      <c r="U36" s="35"/>
      <c r="V36" s="35"/>
    </row>
    <row r="37" spans="1:22" ht="14.25" thickBot="1" x14ac:dyDescent="0.3">
      <c r="A37" s="85"/>
      <c r="B37" s="108" t="str">
        <f>IF(L17="Extended Range","Priority","")</f>
        <v/>
      </c>
      <c r="C37" s="109"/>
      <c r="D37" s="113" t="s">
        <v>98</v>
      </c>
      <c r="E37" s="111"/>
      <c r="F37" s="111"/>
      <c r="G37" s="111"/>
      <c r="H37" s="111"/>
      <c r="I37" s="112"/>
      <c r="J37" s="112"/>
      <c r="K37" s="192" t="s">
        <v>136</v>
      </c>
      <c r="L37" s="192"/>
      <c r="M37" s="193"/>
      <c r="U37" s="35"/>
      <c r="V37" s="35"/>
    </row>
    <row r="38" spans="1:22" x14ac:dyDescent="0.25">
      <c r="C38" s="44"/>
      <c r="E38" s="44"/>
      <c r="F38" s="45"/>
      <c r="H38" s="46"/>
      <c r="I38" s="46"/>
      <c r="J38" s="47"/>
      <c r="O38" s="34"/>
    </row>
    <row r="39" spans="1:22" x14ac:dyDescent="0.25">
      <c r="A39" s="188" t="s">
        <v>6</v>
      </c>
      <c r="B39" s="188"/>
      <c r="C39" s="188"/>
      <c r="D39" s="188"/>
      <c r="E39" s="188"/>
      <c r="F39" s="188"/>
      <c r="G39" s="188"/>
      <c r="H39" s="188"/>
      <c r="I39" s="188"/>
      <c r="J39" s="188"/>
      <c r="K39" s="188"/>
      <c r="L39" s="188"/>
      <c r="M39" s="189"/>
    </row>
  </sheetData>
  <sheetProtection sheet="1" objects="1" scenarios="1"/>
  <mergeCells count="45">
    <mergeCell ref="C25:M25"/>
    <mergeCell ref="C26:M26"/>
    <mergeCell ref="A1:M2"/>
    <mergeCell ref="C12:I12"/>
    <mergeCell ref="K12:M12"/>
    <mergeCell ref="B3:M3"/>
    <mergeCell ref="B4:C4"/>
    <mergeCell ref="B5:C5"/>
    <mergeCell ref="C11:I11"/>
    <mergeCell ref="K11:M11"/>
    <mergeCell ref="C10:I10"/>
    <mergeCell ref="K10:M10"/>
    <mergeCell ref="L17:M17"/>
    <mergeCell ref="C18:M18"/>
    <mergeCell ref="C19:M19"/>
    <mergeCell ref="C20:M20"/>
    <mergeCell ref="C24:M24"/>
    <mergeCell ref="E4:E5"/>
    <mergeCell ref="F4:J5"/>
    <mergeCell ref="A9:M9"/>
    <mergeCell ref="A23:M23"/>
    <mergeCell ref="A33:M33"/>
    <mergeCell ref="C29:M29"/>
    <mergeCell ref="C30:M30"/>
    <mergeCell ref="C31:M31"/>
    <mergeCell ref="C21:M21"/>
    <mergeCell ref="C13:M13"/>
    <mergeCell ref="C14:G14"/>
    <mergeCell ref="H14:I14"/>
    <mergeCell ref="K14:M14"/>
    <mergeCell ref="C15:M15"/>
    <mergeCell ref="C16:M16"/>
    <mergeCell ref="C17:K17"/>
    <mergeCell ref="G34:H34"/>
    <mergeCell ref="I34:J34"/>
    <mergeCell ref="A39:M39"/>
    <mergeCell ref="C27:M27"/>
    <mergeCell ref="C28:M28"/>
    <mergeCell ref="K36:M36"/>
    <mergeCell ref="K37:M37"/>
    <mergeCell ref="B34:B35"/>
    <mergeCell ref="C34:C35"/>
    <mergeCell ref="D34:D35"/>
    <mergeCell ref="E34:F34"/>
    <mergeCell ref="K34:M35"/>
  </mergeCells>
  <conditionalFormatting sqref="E36:J37">
    <cfRule type="cellIs" dxfId="16" priority="17" stopIfTrue="1" operator="equal">
      <formula>"Err"</formula>
    </cfRule>
  </conditionalFormatting>
  <conditionalFormatting sqref="B15">
    <cfRule type="cellIs" dxfId="15" priority="14" stopIfTrue="1" operator="notEqual">
      <formula>0</formula>
    </cfRule>
  </conditionalFormatting>
  <conditionalFormatting sqref="B27">
    <cfRule type="cellIs" dxfId="14" priority="13" stopIfTrue="1" operator="notEqual">
      <formula>10</formula>
    </cfRule>
  </conditionalFormatting>
  <conditionalFormatting sqref="B24">
    <cfRule type="cellIs" dxfId="13" priority="12" stopIfTrue="1" operator="notEqual">
      <formula>125</formula>
    </cfRule>
  </conditionalFormatting>
  <conditionalFormatting sqref="B28">
    <cfRule type="cellIs" dxfId="12" priority="11" stopIfTrue="1" operator="notEqual">
      <formula>3</formula>
    </cfRule>
  </conditionalFormatting>
  <conditionalFormatting sqref="B29">
    <cfRule type="cellIs" dxfId="11" priority="10" stopIfTrue="1" operator="notEqual">
      <formula>10</formula>
    </cfRule>
  </conditionalFormatting>
  <conditionalFormatting sqref="B25">
    <cfRule type="cellIs" dxfId="10" priority="9" stopIfTrue="1" operator="notEqual">
      <formula>70</formula>
    </cfRule>
  </conditionalFormatting>
  <conditionalFormatting sqref="B14">
    <cfRule type="cellIs" dxfId="9" priority="8" stopIfTrue="1" operator="notEqual">
      <formula>$J$14</formula>
    </cfRule>
  </conditionalFormatting>
  <conditionalFormatting sqref="B13">
    <cfRule type="cellIs" dxfId="8" priority="6" stopIfTrue="1" operator="greaterThan">
      <formula>900</formula>
    </cfRule>
    <cfRule type="cellIs" dxfId="7" priority="7" stopIfTrue="1" operator="notEqual">
      <formula>#REF!</formula>
    </cfRule>
  </conditionalFormatting>
  <conditionalFormatting sqref="J14">
    <cfRule type="cellIs" dxfId="6" priority="5" stopIfTrue="1" operator="notEqual">
      <formula>#REF!</formula>
    </cfRule>
  </conditionalFormatting>
  <conditionalFormatting sqref="B26">
    <cfRule type="cellIs" dxfId="5" priority="3" operator="notEqual">
      <formula>21</formula>
    </cfRule>
  </conditionalFormatting>
  <conditionalFormatting sqref="B30">
    <cfRule type="cellIs" dxfId="4" priority="2" operator="notEqual">
      <formula>600</formula>
    </cfRule>
  </conditionalFormatting>
  <conditionalFormatting sqref="B31">
    <cfRule type="cellIs" dxfId="3" priority="1" operator="notEqual">
      <formula>900</formula>
    </cfRule>
  </conditionalFormatting>
  <printOptions horizontalCentered="1"/>
  <pageMargins left="0.5" right="0.5" top="0.5" bottom="0.5" header="0.5" footer="0.5"/>
  <pageSetup scale="93"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88"/>
  <sheetViews>
    <sheetView zoomScaleNormal="100" workbookViewId="0">
      <selection activeCell="A3" sqref="A3"/>
    </sheetView>
  </sheetViews>
  <sheetFormatPr defaultRowHeight="16.5" x14ac:dyDescent="0.3"/>
  <cols>
    <col min="1" max="24" width="4.28515625" style="28" customWidth="1"/>
    <col min="25" max="16384" width="9.140625" style="28"/>
  </cols>
  <sheetData>
    <row r="1" spans="1:25" ht="32.25" x14ac:dyDescent="0.4">
      <c r="A1" s="142" t="s">
        <v>111</v>
      </c>
      <c r="B1" s="142"/>
      <c r="C1" s="142"/>
      <c r="D1" s="142"/>
      <c r="E1" s="142"/>
      <c r="F1" s="142"/>
      <c r="G1" s="142"/>
      <c r="H1" s="142"/>
      <c r="I1" s="142"/>
      <c r="J1" s="142"/>
      <c r="K1" s="142"/>
      <c r="L1" s="142"/>
      <c r="M1" s="142"/>
      <c r="N1" s="142"/>
      <c r="O1" s="142"/>
      <c r="P1" s="142"/>
      <c r="Q1" s="142"/>
      <c r="R1" s="142"/>
      <c r="S1" s="142"/>
      <c r="T1" s="142"/>
      <c r="U1" s="142"/>
      <c r="V1" s="142"/>
      <c r="W1" s="142"/>
      <c r="X1" s="142"/>
    </row>
    <row r="2" spans="1:25" x14ac:dyDescent="0.3">
      <c r="A2" s="248" t="s">
        <v>144</v>
      </c>
      <c r="B2" s="248"/>
      <c r="C2" s="248"/>
      <c r="D2" s="248"/>
      <c r="E2" s="248"/>
      <c r="F2" s="248"/>
      <c r="G2" s="248"/>
      <c r="H2" s="248"/>
      <c r="I2" s="248"/>
      <c r="J2" s="248"/>
      <c r="K2" s="248"/>
      <c r="L2" s="248"/>
      <c r="M2" s="248"/>
      <c r="N2" s="248"/>
      <c r="O2" s="248"/>
      <c r="P2" s="248"/>
      <c r="Q2" s="248"/>
      <c r="R2" s="248"/>
      <c r="S2" s="248"/>
      <c r="T2" s="248"/>
      <c r="U2" s="248"/>
      <c r="V2" s="248"/>
      <c r="W2" s="248"/>
      <c r="X2" s="248"/>
    </row>
    <row r="3" spans="1:25" x14ac:dyDescent="0.3">
      <c r="A3" s="93"/>
      <c r="B3" s="93"/>
      <c r="C3" s="93"/>
      <c r="D3" s="93"/>
      <c r="E3" s="93"/>
      <c r="F3" s="93"/>
      <c r="G3" s="93"/>
      <c r="H3" s="93"/>
      <c r="I3" s="93"/>
      <c r="J3" s="93"/>
      <c r="K3" s="93"/>
      <c r="L3" s="93"/>
      <c r="M3" s="93"/>
      <c r="N3" s="93"/>
      <c r="O3" s="93"/>
      <c r="P3" s="93"/>
      <c r="Q3" s="93"/>
      <c r="R3" s="93"/>
      <c r="S3" s="93"/>
      <c r="T3" s="93"/>
      <c r="U3" s="93"/>
      <c r="V3" s="93"/>
      <c r="W3" s="93"/>
      <c r="X3" s="93"/>
    </row>
    <row r="4" spans="1:25" x14ac:dyDescent="0.3">
      <c r="A4" s="238" t="s">
        <v>112</v>
      </c>
      <c r="B4" s="238"/>
      <c r="C4" s="238"/>
      <c r="D4" s="238"/>
      <c r="E4" s="238"/>
      <c r="F4" s="238"/>
      <c r="G4" s="238"/>
      <c r="H4" s="238"/>
      <c r="I4" s="238"/>
      <c r="J4" s="238"/>
      <c r="K4" s="238"/>
      <c r="L4" s="238"/>
      <c r="M4" s="238"/>
      <c r="N4" s="238"/>
      <c r="O4" s="238"/>
      <c r="P4" s="238"/>
      <c r="Q4" s="238"/>
      <c r="R4" s="238"/>
      <c r="S4" s="238"/>
      <c r="T4" s="238"/>
      <c r="U4" s="238"/>
      <c r="V4" s="238"/>
      <c r="W4" s="238"/>
      <c r="X4" s="238"/>
    </row>
    <row r="6" spans="1:25" x14ac:dyDescent="0.3">
      <c r="A6" s="148" t="s">
        <v>72</v>
      </c>
      <c r="B6" s="148"/>
      <c r="C6" s="148"/>
      <c r="F6" s="149" t="s">
        <v>73</v>
      </c>
      <c r="G6" s="149"/>
      <c r="J6" s="150" t="s">
        <v>74</v>
      </c>
      <c r="K6" s="150"/>
      <c r="L6" s="150"/>
      <c r="M6" s="150"/>
      <c r="N6" s="150"/>
      <c r="O6" s="150"/>
      <c r="R6" s="249" t="s">
        <v>75</v>
      </c>
      <c r="S6" s="249"/>
      <c r="T6" s="249"/>
      <c r="U6" s="249"/>
      <c r="V6" s="249"/>
      <c r="W6" s="249"/>
    </row>
    <row r="8" spans="1:25" ht="16.5" customHeight="1" x14ac:dyDescent="0.3">
      <c r="A8" s="244"/>
      <c r="B8" s="244"/>
      <c r="C8" s="242" t="s">
        <v>103</v>
      </c>
      <c r="D8" s="242"/>
      <c r="E8" s="242"/>
      <c r="F8" s="242"/>
      <c r="G8" s="242"/>
      <c r="H8" s="242"/>
      <c r="I8" s="242"/>
      <c r="J8" s="242"/>
      <c r="K8" s="242"/>
      <c r="L8" s="242"/>
      <c r="M8" s="242"/>
      <c r="N8" s="242"/>
      <c r="O8" s="242"/>
      <c r="P8" s="242"/>
      <c r="Q8" s="242"/>
      <c r="R8" s="242"/>
      <c r="S8" s="242"/>
      <c r="T8" s="242"/>
      <c r="U8" s="242"/>
      <c r="V8" s="242"/>
      <c r="W8" s="242"/>
      <c r="X8" s="242"/>
      <c r="Y8" s="29"/>
    </row>
    <row r="9" spans="1:25" ht="16.5" customHeight="1" x14ac:dyDescent="0.3">
      <c r="A9" s="244"/>
      <c r="B9" s="244"/>
      <c r="C9" s="241" t="s">
        <v>130</v>
      </c>
      <c r="D9" s="241"/>
      <c r="E9" s="241"/>
      <c r="F9" s="241"/>
      <c r="G9" s="241"/>
      <c r="H9" s="241"/>
      <c r="I9" s="241"/>
      <c r="J9" s="241"/>
      <c r="K9" s="241"/>
      <c r="L9" s="241"/>
      <c r="M9" s="241"/>
      <c r="N9" s="241"/>
      <c r="O9" s="241"/>
      <c r="P9" s="241"/>
      <c r="Q9" s="241"/>
      <c r="R9" s="241"/>
      <c r="S9" s="241"/>
      <c r="T9" s="241"/>
      <c r="U9" s="241"/>
      <c r="V9" s="241"/>
      <c r="W9" s="241"/>
      <c r="X9" s="241"/>
      <c r="Y9" s="29"/>
    </row>
    <row r="10" spans="1:25" x14ac:dyDescent="0.3">
      <c r="A10" s="245">
        <f>ROUNDDOWN(((5280*A15*(A8+A16))/3600)-A13,0)</f>
        <v>-71</v>
      </c>
      <c r="B10" s="245"/>
      <c r="C10" s="241" t="s">
        <v>104</v>
      </c>
      <c r="D10" s="241"/>
      <c r="E10" s="241"/>
      <c r="F10" s="241"/>
      <c r="G10" s="241"/>
      <c r="H10" s="241"/>
      <c r="I10" s="241"/>
      <c r="J10" s="241"/>
      <c r="K10" s="241"/>
      <c r="L10" s="241"/>
      <c r="M10" s="241"/>
      <c r="N10" s="241"/>
      <c r="O10" s="241"/>
      <c r="P10" s="241"/>
      <c r="Q10" s="241"/>
      <c r="R10" s="241"/>
      <c r="S10" s="241"/>
      <c r="T10" s="241"/>
      <c r="U10" s="241"/>
      <c r="V10" s="241"/>
      <c r="W10" s="241"/>
      <c r="X10" s="241"/>
      <c r="Y10" s="29"/>
    </row>
    <row r="11" spans="1:25" ht="15.75" customHeight="1" x14ac:dyDescent="0.3">
      <c r="A11" s="246">
        <v>21</v>
      </c>
      <c r="B11" s="246"/>
      <c r="C11" s="240" t="s">
        <v>107</v>
      </c>
      <c r="D11" s="240"/>
      <c r="E11" s="240"/>
      <c r="F11" s="240"/>
      <c r="G11" s="240"/>
      <c r="H11" s="240"/>
      <c r="I11" s="240"/>
      <c r="J11" s="240"/>
      <c r="K11" s="240"/>
      <c r="L11" s="240"/>
      <c r="M11" s="240"/>
      <c r="N11" s="240"/>
      <c r="O11" s="240"/>
      <c r="P11" s="240"/>
      <c r="Q11" s="240"/>
      <c r="R11" s="240"/>
      <c r="S11" s="240"/>
      <c r="T11" s="240"/>
      <c r="U11" s="240"/>
      <c r="V11" s="240"/>
      <c r="W11" s="240"/>
      <c r="X11" s="240"/>
      <c r="Y11" s="29"/>
    </row>
    <row r="12" spans="1:25" ht="15.75" customHeight="1" x14ac:dyDescent="0.3">
      <c r="A12" s="246">
        <v>10</v>
      </c>
      <c r="B12" s="246"/>
      <c r="C12" s="240" t="s">
        <v>108</v>
      </c>
      <c r="D12" s="240"/>
      <c r="E12" s="240"/>
      <c r="F12" s="240"/>
      <c r="G12" s="240"/>
      <c r="H12" s="240"/>
      <c r="I12" s="240"/>
      <c r="J12" s="240"/>
      <c r="K12" s="240"/>
      <c r="L12" s="240"/>
      <c r="M12" s="240"/>
      <c r="N12" s="240"/>
      <c r="O12" s="240"/>
      <c r="P12" s="240"/>
      <c r="Q12" s="240"/>
      <c r="R12" s="240"/>
      <c r="S12" s="240"/>
      <c r="T12" s="240"/>
      <c r="U12" s="240"/>
      <c r="V12" s="240"/>
      <c r="W12" s="240"/>
      <c r="X12" s="240"/>
      <c r="Y12" s="29"/>
    </row>
    <row r="13" spans="1:25" ht="15.75" customHeight="1" x14ac:dyDescent="0.3">
      <c r="A13" s="246">
        <v>70</v>
      </c>
      <c r="B13" s="246"/>
      <c r="C13" s="240" t="s">
        <v>110</v>
      </c>
      <c r="D13" s="240"/>
      <c r="E13" s="240"/>
      <c r="F13" s="240"/>
      <c r="G13" s="240"/>
      <c r="H13" s="240"/>
      <c r="I13" s="240"/>
      <c r="J13" s="240"/>
      <c r="K13" s="240"/>
      <c r="L13" s="240"/>
      <c r="M13" s="240"/>
      <c r="N13" s="240"/>
      <c r="O13" s="240"/>
      <c r="P13" s="240"/>
      <c r="Q13" s="240"/>
      <c r="R13" s="240"/>
      <c r="S13" s="240"/>
      <c r="T13" s="240"/>
      <c r="U13" s="240"/>
      <c r="V13" s="240"/>
      <c r="W13" s="240"/>
      <c r="X13" s="240"/>
      <c r="Y13" s="29"/>
    </row>
    <row r="14" spans="1:25" x14ac:dyDescent="0.3">
      <c r="A14" s="247">
        <f>A9-A11</f>
        <v>-21</v>
      </c>
      <c r="B14" s="247"/>
      <c r="C14" s="241" t="s">
        <v>105</v>
      </c>
      <c r="D14" s="241"/>
      <c r="E14" s="241"/>
      <c r="F14" s="241"/>
      <c r="G14" s="241"/>
      <c r="H14" s="241"/>
      <c r="I14" s="241"/>
      <c r="J14" s="241"/>
      <c r="K14" s="241"/>
      <c r="L14" s="241"/>
      <c r="M14" s="241"/>
      <c r="N14" s="241"/>
      <c r="O14" s="241"/>
      <c r="P14" s="241"/>
      <c r="Q14" s="241"/>
      <c r="R14" s="241"/>
      <c r="S14" s="241"/>
      <c r="T14" s="241"/>
      <c r="U14" s="241"/>
      <c r="V14" s="241"/>
      <c r="W14" s="241"/>
      <c r="X14" s="241"/>
      <c r="Y14" s="29"/>
    </row>
    <row r="15" spans="1:25" x14ac:dyDescent="0.3">
      <c r="A15" s="247">
        <f>A9-A12</f>
        <v>-10</v>
      </c>
      <c r="B15" s="247"/>
      <c r="C15" s="241" t="s">
        <v>109</v>
      </c>
      <c r="D15" s="241"/>
      <c r="E15" s="241"/>
      <c r="F15" s="241"/>
      <c r="G15" s="241"/>
      <c r="H15" s="241"/>
      <c r="I15" s="241"/>
      <c r="J15" s="241"/>
      <c r="K15" s="241"/>
      <c r="L15" s="241"/>
      <c r="M15" s="241"/>
      <c r="N15" s="241"/>
      <c r="O15" s="241"/>
      <c r="P15" s="241"/>
      <c r="Q15" s="241"/>
      <c r="R15" s="241"/>
      <c r="S15" s="241"/>
      <c r="T15" s="241"/>
      <c r="U15" s="241"/>
      <c r="V15" s="241"/>
      <c r="W15" s="241"/>
      <c r="X15" s="241"/>
      <c r="Y15" s="29"/>
    </row>
    <row r="16" spans="1:25" x14ac:dyDescent="0.3">
      <c r="A16" s="247">
        <f>MROUND((0.04*A14)+0.94,0.1)</f>
        <v>0.1</v>
      </c>
      <c r="B16" s="247"/>
      <c r="C16" s="242" t="s">
        <v>106</v>
      </c>
      <c r="D16" s="242"/>
      <c r="E16" s="242"/>
      <c r="F16" s="242"/>
      <c r="G16" s="242"/>
      <c r="H16" s="242"/>
      <c r="I16" s="242"/>
      <c r="J16" s="242"/>
      <c r="K16" s="242"/>
      <c r="L16" s="242"/>
      <c r="M16" s="242"/>
      <c r="N16" s="242"/>
      <c r="O16" s="242"/>
      <c r="P16" s="242"/>
      <c r="Q16" s="242"/>
      <c r="R16" s="242"/>
      <c r="S16" s="242"/>
      <c r="T16" s="242"/>
      <c r="U16" s="242"/>
      <c r="V16" s="242"/>
      <c r="W16" s="242"/>
      <c r="X16" s="242"/>
      <c r="Y16" s="29"/>
    </row>
    <row r="17" spans="1:25" x14ac:dyDescent="0.3">
      <c r="A17" s="30"/>
      <c r="B17" s="30"/>
      <c r="C17" s="30"/>
      <c r="D17" s="30"/>
      <c r="E17" s="30"/>
      <c r="F17" s="30"/>
      <c r="G17" s="30"/>
      <c r="H17" s="30"/>
      <c r="I17" s="30"/>
      <c r="J17" s="30"/>
      <c r="K17" s="31"/>
      <c r="L17" s="31"/>
      <c r="M17" s="31"/>
      <c r="N17" s="29"/>
      <c r="O17" s="29"/>
      <c r="P17" s="29"/>
      <c r="Q17" s="29"/>
      <c r="R17" s="29"/>
      <c r="S17" s="29"/>
      <c r="T17" s="29"/>
      <c r="U17" s="29"/>
      <c r="V17" s="29"/>
      <c r="W17" s="29"/>
      <c r="X17" s="29"/>
      <c r="Y17" s="29"/>
    </row>
    <row r="18" spans="1:25" x14ac:dyDescent="0.3">
      <c r="A18" s="238" t="s">
        <v>124</v>
      </c>
      <c r="B18" s="238"/>
      <c r="C18" s="238"/>
      <c r="D18" s="238"/>
      <c r="E18" s="238"/>
      <c r="F18" s="238"/>
      <c r="G18" s="238"/>
      <c r="H18" s="238"/>
      <c r="I18" s="238"/>
      <c r="J18" s="238"/>
      <c r="K18" s="238"/>
      <c r="L18" s="238"/>
      <c r="M18" s="238"/>
      <c r="N18" s="238"/>
      <c r="O18" s="238"/>
      <c r="P18" s="238"/>
      <c r="Q18" s="238"/>
      <c r="R18" s="238"/>
      <c r="S18" s="238"/>
      <c r="T18" s="238"/>
      <c r="U18" s="238"/>
      <c r="V18" s="238"/>
      <c r="W18" s="238"/>
      <c r="X18" s="238"/>
    </row>
    <row r="19" spans="1:25" x14ac:dyDescent="0.3">
      <c r="A19" s="92"/>
      <c r="B19" s="92"/>
      <c r="C19" s="92"/>
      <c r="D19" s="92"/>
      <c r="E19" s="92"/>
      <c r="F19" s="92"/>
      <c r="G19" s="92"/>
      <c r="H19" s="92"/>
      <c r="I19" s="92"/>
      <c r="J19" s="92"/>
      <c r="K19" s="92"/>
      <c r="L19" s="92"/>
      <c r="M19" s="92"/>
      <c r="N19" s="92"/>
      <c r="O19" s="92"/>
      <c r="P19" s="92"/>
      <c r="Q19" s="92"/>
      <c r="R19" s="92"/>
      <c r="S19" s="92"/>
      <c r="T19" s="92"/>
      <c r="U19" s="92"/>
      <c r="V19" s="92"/>
      <c r="W19" s="92"/>
      <c r="X19" s="92"/>
    </row>
    <row r="20" spans="1:25" x14ac:dyDescent="0.3">
      <c r="B20" s="243" t="s">
        <v>117</v>
      </c>
      <c r="C20" s="243"/>
      <c r="D20" s="243" t="s">
        <v>113</v>
      </c>
      <c r="E20" s="243"/>
      <c r="F20" s="243"/>
      <c r="G20" s="243"/>
      <c r="H20" s="243"/>
      <c r="I20" s="243"/>
      <c r="J20" s="243"/>
      <c r="K20" s="243"/>
      <c r="L20" s="243"/>
      <c r="M20" s="243"/>
      <c r="N20" s="243"/>
      <c r="O20" s="243"/>
      <c r="P20" s="243"/>
      <c r="Q20" s="243"/>
      <c r="R20" s="243"/>
      <c r="S20" s="243"/>
      <c r="T20" s="243"/>
      <c r="U20" s="243"/>
      <c r="V20" s="243"/>
      <c r="W20" s="243"/>
    </row>
    <row r="21" spans="1:25" x14ac:dyDescent="0.3">
      <c r="B21" s="243"/>
      <c r="C21" s="243"/>
      <c r="D21" s="239">
        <v>30</v>
      </c>
      <c r="E21" s="239"/>
      <c r="F21" s="239">
        <v>35</v>
      </c>
      <c r="G21" s="239"/>
      <c r="H21" s="239">
        <v>40</v>
      </c>
      <c r="I21" s="239"/>
      <c r="J21" s="239">
        <v>45</v>
      </c>
      <c r="K21" s="239"/>
      <c r="L21" s="239">
        <v>50</v>
      </c>
      <c r="M21" s="239"/>
      <c r="N21" s="239">
        <v>55</v>
      </c>
      <c r="O21" s="239"/>
      <c r="P21" s="239">
        <v>60</v>
      </c>
      <c r="Q21" s="239"/>
      <c r="R21" s="239">
        <v>65</v>
      </c>
      <c r="S21" s="239"/>
      <c r="T21" s="239">
        <v>70</v>
      </c>
      <c r="U21" s="239"/>
      <c r="V21" s="239">
        <v>75</v>
      </c>
      <c r="W21" s="239"/>
    </row>
    <row r="22" spans="1:25" x14ac:dyDescent="0.3">
      <c r="B22" s="243"/>
      <c r="C22" s="243"/>
      <c r="D22" s="239"/>
      <c r="E22" s="239"/>
      <c r="F22" s="239"/>
      <c r="G22" s="239"/>
      <c r="H22" s="239"/>
      <c r="I22" s="239"/>
      <c r="J22" s="239"/>
      <c r="K22" s="239"/>
      <c r="L22" s="239"/>
      <c r="M22" s="239"/>
      <c r="N22" s="239"/>
      <c r="O22" s="239"/>
      <c r="P22" s="239"/>
      <c r="Q22" s="239"/>
      <c r="R22" s="239"/>
      <c r="S22" s="239"/>
      <c r="T22" s="239"/>
      <c r="U22" s="239"/>
      <c r="V22" s="239"/>
      <c r="W22" s="239"/>
    </row>
    <row r="23" spans="1:25" x14ac:dyDescent="0.3">
      <c r="B23" s="237">
        <v>2</v>
      </c>
      <c r="C23" s="237"/>
      <c r="D23" s="236">
        <f>ROUNDDOWN(((5280*(D$21-10)*($B23+((0.04*(D$21-21))+0.94)))/3600)-70,0)</f>
        <v>26</v>
      </c>
      <c r="E23" s="236"/>
      <c r="F23" s="236">
        <f>ROUNDDOWN(((5280*(F$21-10)*($B23+((0.04*(F$21-21))+0.94)))/3600)-70,0)</f>
        <v>58</v>
      </c>
      <c r="G23" s="236"/>
      <c r="H23" s="236">
        <f>ROUNDDOWN(((5280*(H$21-10)*($B23+((0.04*(H$21-21))+0.94)))/3600)-70,0)</f>
        <v>92</v>
      </c>
      <c r="I23" s="236"/>
      <c r="J23" s="236">
        <f>ROUNDDOWN(((5280*(J$21-10)*($B23+((0.04*(J$21-21))+0.94)))/3600)-70,0)</f>
        <v>130</v>
      </c>
      <c r="K23" s="236"/>
      <c r="L23" s="236">
        <f>ROUNDDOWN(((5280*(L$21-10)*($B23+((0.04*(L$21-21))+0.94)))/3600)-70,0)</f>
        <v>170</v>
      </c>
      <c r="M23" s="236"/>
      <c r="N23" s="236">
        <f>ROUNDDOWN(((5280*(N$21-10)*($B23+((0.04*(N$21-21))+0.94)))/3600)-70,0)</f>
        <v>213</v>
      </c>
      <c r="O23" s="236"/>
      <c r="P23" s="236">
        <f>ROUNDDOWN(((5280*(P$21-10)*($B23+((0.04*(P$21-21))+0.94)))/3600)-70,0)</f>
        <v>260</v>
      </c>
      <c r="Q23" s="236"/>
      <c r="R23" s="236">
        <f>ROUNDDOWN(((5280*(R$21-10)*($B23+((0.04*(R$21-21))+0.94)))/3600)-70,0)</f>
        <v>309</v>
      </c>
      <c r="S23" s="236"/>
      <c r="T23" s="236">
        <f>ROUNDDOWN(((5280*(T$21-10)*($B23+((0.04*(T$21-21))+0.94)))/3600)-70,0)</f>
        <v>361</v>
      </c>
      <c r="U23" s="236"/>
      <c r="V23" s="236">
        <f>ROUNDDOWN(((5280*(V$21-10)*($B23+((0.04*(V$21-21))+0.94)))/3600)-70,0)</f>
        <v>416</v>
      </c>
      <c r="W23" s="236"/>
    </row>
    <row r="24" spans="1:25" x14ac:dyDescent="0.3">
      <c r="B24" s="237"/>
      <c r="C24" s="237"/>
      <c r="D24" s="236"/>
      <c r="E24" s="236"/>
      <c r="F24" s="236"/>
      <c r="G24" s="236"/>
      <c r="H24" s="236"/>
      <c r="I24" s="236"/>
      <c r="J24" s="236"/>
      <c r="K24" s="236"/>
      <c r="L24" s="236"/>
      <c r="M24" s="236"/>
      <c r="N24" s="236"/>
      <c r="O24" s="236"/>
      <c r="P24" s="236"/>
      <c r="Q24" s="236"/>
      <c r="R24" s="236"/>
      <c r="S24" s="236"/>
      <c r="T24" s="236"/>
      <c r="U24" s="236"/>
      <c r="V24" s="236"/>
      <c r="W24" s="236"/>
    </row>
    <row r="25" spans="1:25" x14ac:dyDescent="0.3">
      <c r="B25" s="237">
        <v>2.5</v>
      </c>
      <c r="C25" s="237"/>
      <c r="D25" s="236">
        <f>ROUNDDOWN(((5280*(D$21-10)*($B25+((0.04*(D$21-21))+0.94)))/3600)-70,0)</f>
        <v>41</v>
      </c>
      <c r="E25" s="236"/>
      <c r="F25" s="236">
        <f>ROUNDDOWN(((5280*(F$21-10)*($B25+((0.04*(F$21-21))+0.94)))/3600)-70,0)</f>
        <v>76</v>
      </c>
      <c r="G25" s="236"/>
      <c r="H25" s="236">
        <f>ROUNDDOWN(((5280*(H$21-10)*($B25+((0.04*(H$21-21))+0.94)))/3600)-70,0)</f>
        <v>114</v>
      </c>
      <c r="I25" s="236"/>
      <c r="J25" s="236">
        <f>ROUNDDOWN(((5280*(J$21-10)*($B25+((0.04*(J$21-21))+0.94)))/3600)-70,0)</f>
        <v>155</v>
      </c>
      <c r="K25" s="236"/>
      <c r="L25" s="236">
        <f>ROUNDDOWN(((5280*(L$21-10)*($B25+((0.04*(L$21-21))+0.94)))/3600)-70,0)</f>
        <v>199</v>
      </c>
      <c r="M25" s="236"/>
      <c r="N25" s="236">
        <f>ROUNDDOWN(((5280*(N$21-10)*($B25+((0.04*(N$21-21))+0.94)))/3600)-70,0)</f>
        <v>246</v>
      </c>
      <c r="O25" s="236"/>
      <c r="P25" s="236">
        <f>ROUNDDOWN(((5280*(P$21-10)*($B25+((0.04*(P$21-21))+0.94)))/3600)-70,0)</f>
        <v>296</v>
      </c>
      <c r="Q25" s="236"/>
      <c r="R25" s="236">
        <f>ROUNDDOWN(((5280*(R$21-10)*($B25+((0.04*(R$21-21))+0.94)))/3600)-70,0)</f>
        <v>349</v>
      </c>
      <c r="S25" s="236"/>
      <c r="T25" s="236">
        <f>ROUNDDOWN(((5280*(T$21-10)*($B25+((0.04*(T$21-21))+0.94)))/3600)-70,0)</f>
        <v>405</v>
      </c>
      <c r="U25" s="236"/>
      <c r="V25" s="236">
        <f>ROUNDDOWN(((5280*(V$21-10)*($B25+((0.04*(V$21-21))+0.94)))/3600)-70,0)</f>
        <v>463</v>
      </c>
      <c r="W25" s="236"/>
    </row>
    <row r="26" spans="1:25" x14ac:dyDescent="0.3">
      <c r="B26" s="237"/>
      <c r="C26" s="237"/>
      <c r="D26" s="236"/>
      <c r="E26" s="236"/>
      <c r="F26" s="236"/>
      <c r="G26" s="236"/>
      <c r="H26" s="236"/>
      <c r="I26" s="236"/>
      <c r="J26" s="236"/>
      <c r="K26" s="236"/>
      <c r="L26" s="236"/>
      <c r="M26" s="236"/>
      <c r="N26" s="236"/>
      <c r="O26" s="236"/>
      <c r="P26" s="236"/>
      <c r="Q26" s="236"/>
      <c r="R26" s="236"/>
      <c r="S26" s="236"/>
      <c r="T26" s="236"/>
      <c r="U26" s="236"/>
      <c r="V26" s="236"/>
      <c r="W26" s="236"/>
    </row>
    <row r="27" spans="1:25" x14ac:dyDescent="0.3">
      <c r="B27" s="237">
        <v>3</v>
      </c>
      <c r="C27" s="237"/>
      <c r="D27" s="236">
        <f>ROUNDDOWN(((5280*(D$21-10)*($B27+((0.04*(D$21-21))+0.94)))/3600)-70,0)</f>
        <v>56</v>
      </c>
      <c r="E27" s="236"/>
      <c r="F27" s="236">
        <f>ROUNDDOWN(((5280*(F$21-10)*($B27+((0.04*(F$21-21))+0.94)))/3600)-70,0)</f>
        <v>95</v>
      </c>
      <c r="G27" s="236"/>
      <c r="H27" s="236">
        <f>ROUNDDOWN(((5280*(H$21-10)*($B27+((0.04*(H$21-21))+0.94)))/3600)-70,0)</f>
        <v>136</v>
      </c>
      <c r="I27" s="236"/>
      <c r="J27" s="236">
        <f>ROUNDDOWN(((5280*(J$21-10)*($B27+((0.04*(J$21-21))+0.94)))/3600)-70,0)</f>
        <v>181</v>
      </c>
      <c r="K27" s="236"/>
      <c r="L27" s="236">
        <f>ROUNDDOWN(((5280*(L$21-10)*($B27+((0.04*(L$21-21))+0.94)))/3600)-70,0)</f>
        <v>229</v>
      </c>
      <c r="M27" s="236"/>
      <c r="N27" s="236">
        <f>ROUNDDOWN(((5280*(N$21-10)*($B27+((0.04*(N$21-21))+0.94)))/3600)-70,0)</f>
        <v>279</v>
      </c>
      <c r="O27" s="236"/>
      <c r="P27" s="236">
        <f>ROUNDDOWN(((5280*(P$21-10)*($B27+((0.04*(P$21-21))+0.94)))/3600)-70,0)</f>
        <v>333</v>
      </c>
      <c r="Q27" s="236"/>
      <c r="R27" s="236">
        <f>ROUNDDOWN(((5280*(R$21-10)*($B27+((0.04*(R$21-21))+0.94)))/3600)-70,0)</f>
        <v>389</v>
      </c>
      <c r="S27" s="236"/>
      <c r="T27" s="236">
        <f>ROUNDDOWN(((5280*(T$21-10)*($B27+((0.04*(T$21-21))+0.94)))/3600)-70,0)</f>
        <v>449</v>
      </c>
      <c r="U27" s="236"/>
      <c r="V27" s="236">
        <f>ROUNDDOWN(((5280*(V$21-10)*($B27+((0.04*(V$21-21))+0.94)))/3600)-70,0)</f>
        <v>511</v>
      </c>
      <c r="W27" s="236"/>
    </row>
    <row r="28" spans="1:25" x14ac:dyDescent="0.3">
      <c r="B28" s="237"/>
      <c r="C28" s="237"/>
      <c r="D28" s="236"/>
      <c r="E28" s="236"/>
      <c r="F28" s="236"/>
      <c r="G28" s="236"/>
      <c r="H28" s="236"/>
      <c r="I28" s="236"/>
      <c r="J28" s="236"/>
      <c r="K28" s="236"/>
      <c r="L28" s="236"/>
      <c r="M28" s="236"/>
      <c r="N28" s="236"/>
      <c r="O28" s="236"/>
      <c r="P28" s="236"/>
      <c r="Q28" s="236"/>
      <c r="R28" s="236"/>
      <c r="S28" s="236"/>
      <c r="T28" s="236"/>
      <c r="U28" s="236"/>
      <c r="V28" s="236"/>
      <c r="W28" s="236"/>
    </row>
    <row r="29" spans="1:25" x14ac:dyDescent="0.3">
      <c r="B29" s="237">
        <v>3.5</v>
      </c>
      <c r="C29" s="237"/>
      <c r="D29" s="236">
        <f>ROUNDDOWN(((5280*(D$21-10)*($B29+((0.04*(D$21-21))+0.94)))/3600)-70,0)</f>
        <v>70</v>
      </c>
      <c r="E29" s="236"/>
      <c r="F29" s="236">
        <f>ROUNDDOWN(((5280*(F$21-10)*($B29+((0.04*(F$21-21))+0.94)))/3600)-70,0)</f>
        <v>113</v>
      </c>
      <c r="G29" s="236"/>
      <c r="H29" s="236">
        <f>ROUNDDOWN(((5280*(H$21-10)*($B29+((0.04*(H$21-21))+0.94)))/3600)-70,0)</f>
        <v>158</v>
      </c>
      <c r="I29" s="236"/>
      <c r="J29" s="236">
        <f>ROUNDDOWN(((5280*(J$21-10)*($B29+((0.04*(J$21-21))+0.94)))/3600)-70,0)</f>
        <v>207</v>
      </c>
      <c r="K29" s="236"/>
      <c r="L29" s="236">
        <f>ROUNDDOWN(((5280*(L$21-10)*($B29+((0.04*(L$21-21))+0.94)))/3600)-70,0)</f>
        <v>258</v>
      </c>
      <c r="M29" s="236"/>
      <c r="N29" s="236">
        <f>ROUNDDOWN(((5280*(N$21-10)*($B29+((0.04*(N$21-21))+0.94)))/3600)-70,0)</f>
        <v>312</v>
      </c>
      <c r="O29" s="236"/>
      <c r="P29" s="236">
        <f>ROUNDDOWN(((5280*(P$21-10)*($B29+((0.04*(P$21-21))+0.94)))/3600)-70,0)</f>
        <v>370</v>
      </c>
      <c r="Q29" s="236"/>
      <c r="R29" s="236">
        <f>ROUNDDOWN(((5280*(R$21-10)*($B29+((0.04*(R$21-21))+0.94)))/3600)-70,0)</f>
        <v>430</v>
      </c>
      <c r="S29" s="236"/>
      <c r="T29" s="236">
        <f>ROUNDDOWN(((5280*(T$21-10)*($B29+((0.04*(T$21-21))+0.94)))/3600)-70,0)</f>
        <v>493</v>
      </c>
      <c r="U29" s="236"/>
      <c r="V29" s="236">
        <f>ROUNDDOWN(((5280*(V$21-10)*($B29+((0.04*(V$21-21))+0.94)))/3600)-70,0)</f>
        <v>559</v>
      </c>
      <c r="W29" s="236"/>
    </row>
    <row r="30" spans="1:25" x14ac:dyDescent="0.3">
      <c r="B30" s="237"/>
      <c r="C30" s="237"/>
      <c r="D30" s="236"/>
      <c r="E30" s="236"/>
      <c r="F30" s="236"/>
      <c r="G30" s="236"/>
      <c r="H30" s="236"/>
      <c r="I30" s="236"/>
      <c r="J30" s="236"/>
      <c r="K30" s="236"/>
      <c r="L30" s="236"/>
      <c r="M30" s="236"/>
      <c r="N30" s="236"/>
      <c r="O30" s="236"/>
      <c r="P30" s="236"/>
      <c r="Q30" s="236"/>
      <c r="R30" s="236"/>
      <c r="S30" s="236"/>
      <c r="T30" s="236"/>
      <c r="U30" s="236"/>
      <c r="V30" s="236"/>
      <c r="W30" s="236"/>
    </row>
    <row r="31" spans="1:25" x14ac:dyDescent="0.3">
      <c r="B31" s="237">
        <v>4</v>
      </c>
      <c r="C31" s="237"/>
      <c r="D31" s="236">
        <f>ROUNDDOWN(((5280*(D$21-10)*($B31+((0.04*(D$21-21))+0.94)))/3600)-70,0)</f>
        <v>85</v>
      </c>
      <c r="E31" s="236"/>
      <c r="F31" s="236">
        <f>ROUNDDOWN(((5280*(F$21-10)*($B31+((0.04*(F$21-21))+0.94)))/3600)-70,0)</f>
        <v>131</v>
      </c>
      <c r="G31" s="236"/>
      <c r="H31" s="236">
        <f>ROUNDDOWN(((5280*(H$21-10)*($B31+((0.04*(H$21-21))+0.94)))/3600)-70,0)</f>
        <v>180</v>
      </c>
      <c r="I31" s="236"/>
      <c r="J31" s="236">
        <f>ROUNDDOWN(((5280*(J$21-10)*($B31+((0.04*(J$21-21))+0.94)))/3600)-70,0)</f>
        <v>232</v>
      </c>
      <c r="K31" s="236"/>
      <c r="L31" s="236">
        <f>ROUNDDOWN(((5280*(L$21-10)*($B31+((0.04*(L$21-21))+0.94)))/3600)-70,0)</f>
        <v>287</v>
      </c>
      <c r="M31" s="236"/>
      <c r="N31" s="236">
        <f>ROUNDDOWN(((5280*(N$21-10)*($B31+((0.04*(N$21-21))+0.94)))/3600)-70,0)</f>
        <v>345</v>
      </c>
      <c r="O31" s="236"/>
      <c r="P31" s="236">
        <f>ROUNDDOWN(((5280*(P$21-10)*($B31+((0.04*(P$21-21))+0.94)))/3600)-70,0)</f>
        <v>406</v>
      </c>
      <c r="Q31" s="236"/>
      <c r="R31" s="236">
        <f>ROUNDDOWN(((5280*(R$21-10)*($B31+((0.04*(R$21-21))+0.94)))/3600)-70,0)</f>
        <v>470</v>
      </c>
      <c r="S31" s="236"/>
      <c r="T31" s="236">
        <f>ROUNDDOWN(((5280*(T$21-10)*($B31+((0.04*(T$21-21))+0.94)))/3600)-70,0)</f>
        <v>537</v>
      </c>
      <c r="U31" s="236"/>
      <c r="V31" s="236">
        <f>ROUNDDOWN(((5280*(V$21-10)*($B31+((0.04*(V$21-21))+0.94)))/3600)-70,0)</f>
        <v>606</v>
      </c>
      <c r="W31" s="236"/>
    </row>
    <row r="32" spans="1:25" x14ac:dyDescent="0.3">
      <c r="B32" s="237"/>
      <c r="C32" s="237"/>
      <c r="D32" s="236"/>
      <c r="E32" s="236"/>
      <c r="F32" s="236"/>
      <c r="G32" s="236"/>
      <c r="H32" s="236"/>
      <c r="I32" s="236"/>
      <c r="J32" s="236"/>
      <c r="K32" s="236"/>
      <c r="L32" s="236"/>
      <c r="M32" s="236"/>
      <c r="N32" s="236"/>
      <c r="O32" s="236"/>
      <c r="P32" s="236"/>
      <c r="Q32" s="236"/>
      <c r="R32" s="236"/>
      <c r="S32" s="236"/>
      <c r="T32" s="236"/>
      <c r="U32" s="236"/>
      <c r="V32" s="236"/>
      <c r="W32" s="236"/>
    </row>
    <row r="33" spans="1:24" x14ac:dyDescent="0.3">
      <c r="B33" s="237">
        <v>4.5</v>
      </c>
      <c r="C33" s="237"/>
      <c r="D33" s="236">
        <f>ROUNDDOWN(((5280*(D$21-10)*($B33+((0.04*(D$21-21))+0.94)))/3600)-70,0)</f>
        <v>100</v>
      </c>
      <c r="E33" s="236"/>
      <c r="F33" s="236">
        <f>ROUNDDOWN(((5280*(F$21-10)*($B33+((0.04*(F$21-21))+0.94)))/3600)-70,0)</f>
        <v>150</v>
      </c>
      <c r="G33" s="236"/>
      <c r="H33" s="236">
        <f>ROUNDDOWN(((5280*(H$21-10)*($B33+((0.04*(H$21-21))+0.94)))/3600)-70,0)</f>
        <v>202</v>
      </c>
      <c r="I33" s="236"/>
      <c r="J33" s="236">
        <f>ROUNDDOWN(((5280*(J$21-10)*($B33+((0.04*(J$21-21))+0.94)))/3600)-70,0)</f>
        <v>258</v>
      </c>
      <c r="K33" s="236"/>
      <c r="L33" s="236">
        <f>ROUNDDOWN(((5280*(L$21-10)*($B33+((0.04*(L$21-21))+0.94)))/3600)-70,0)</f>
        <v>317</v>
      </c>
      <c r="M33" s="236"/>
      <c r="N33" s="236">
        <f>ROUNDDOWN(((5280*(N$21-10)*($B33+((0.04*(N$21-21))+0.94)))/3600)-70,0)</f>
        <v>378</v>
      </c>
      <c r="O33" s="236"/>
      <c r="P33" s="236">
        <f>ROUNDDOWN(((5280*(P$21-10)*($B33+((0.04*(P$21-21))+0.94)))/3600)-70,0)</f>
        <v>443</v>
      </c>
      <c r="Q33" s="236"/>
      <c r="R33" s="236">
        <f>ROUNDDOWN(((5280*(R$21-10)*($B33+((0.04*(R$21-21))+0.94)))/3600)-70,0)</f>
        <v>510</v>
      </c>
      <c r="S33" s="236"/>
      <c r="T33" s="236">
        <f>ROUNDDOWN(((5280*(T$21-10)*($B33+((0.04*(T$21-21))+0.94)))/3600)-70,0)</f>
        <v>581</v>
      </c>
      <c r="U33" s="236"/>
      <c r="V33" s="236">
        <f>ROUNDDOWN(((5280*(V$21-10)*($B33+((0.04*(V$21-21))+0.94)))/3600)-70,0)</f>
        <v>654</v>
      </c>
      <c r="W33" s="236"/>
    </row>
    <row r="34" spans="1:24" x14ac:dyDescent="0.3">
      <c r="B34" s="237"/>
      <c r="C34" s="237"/>
      <c r="D34" s="236"/>
      <c r="E34" s="236"/>
      <c r="F34" s="236"/>
      <c r="G34" s="236"/>
      <c r="H34" s="236"/>
      <c r="I34" s="236"/>
      <c r="J34" s="236"/>
      <c r="K34" s="236"/>
      <c r="L34" s="236"/>
      <c r="M34" s="236"/>
      <c r="N34" s="236"/>
      <c r="O34" s="236"/>
      <c r="P34" s="236"/>
      <c r="Q34" s="236"/>
      <c r="R34" s="236"/>
      <c r="S34" s="236"/>
      <c r="T34" s="236"/>
      <c r="U34" s="236"/>
      <c r="V34" s="236"/>
      <c r="W34" s="236"/>
    </row>
    <row r="35" spans="1:24" x14ac:dyDescent="0.3">
      <c r="B35" s="237">
        <v>5</v>
      </c>
      <c r="C35" s="237"/>
      <c r="D35" s="236">
        <f>ROUNDDOWN(((5280*(D$21-10)*($B35+((0.04*(D$21-21))+0.94)))/3600)-70,0)</f>
        <v>114</v>
      </c>
      <c r="E35" s="236"/>
      <c r="F35" s="236">
        <f>ROUNDDOWN(((5280*(F$21-10)*($B35+((0.04*(F$21-21))+0.94)))/3600)-70,0)</f>
        <v>168</v>
      </c>
      <c r="G35" s="236"/>
      <c r="H35" s="236">
        <f>ROUNDDOWN(((5280*(H$21-10)*($B35+((0.04*(H$21-21))+0.94)))/3600)-70,0)</f>
        <v>224</v>
      </c>
      <c r="I35" s="236"/>
      <c r="J35" s="236">
        <f>ROUNDDOWN(((5280*(J$21-10)*($B35+((0.04*(J$21-21))+0.94)))/3600)-70,0)</f>
        <v>284</v>
      </c>
      <c r="K35" s="236"/>
      <c r="L35" s="236">
        <f>ROUNDDOWN(((5280*(L$21-10)*($B35+((0.04*(L$21-21))+0.94)))/3600)-70,0)</f>
        <v>346</v>
      </c>
      <c r="M35" s="236"/>
      <c r="N35" s="236">
        <f>ROUNDDOWN(((5280*(N$21-10)*($B35+((0.04*(N$21-21))+0.94)))/3600)-70,0)</f>
        <v>411</v>
      </c>
      <c r="O35" s="236"/>
      <c r="P35" s="236">
        <f>ROUNDDOWN(((5280*(P$21-10)*($B35+((0.04*(P$21-21))+0.94)))/3600)-70,0)</f>
        <v>480</v>
      </c>
      <c r="Q35" s="236"/>
      <c r="R35" s="236">
        <f>ROUNDDOWN(((5280*(R$21-10)*($B35+((0.04*(R$21-21))+0.94)))/3600)-70,0)</f>
        <v>551</v>
      </c>
      <c r="S35" s="236"/>
      <c r="T35" s="236">
        <f>ROUNDDOWN(((5280*(T$21-10)*($B35+((0.04*(T$21-21))+0.94)))/3600)-70,0)</f>
        <v>625</v>
      </c>
      <c r="U35" s="236"/>
      <c r="V35" s="236">
        <f>ROUNDDOWN(((5280*(V$21-10)*($B35+((0.04*(V$21-21))+0.94)))/3600)-70,0)</f>
        <v>702</v>
      </c>
      <c r="W35" s="236"/>
    </row>
    <row r="36" spans="1:24" x14ac:dyDescent="0.3">
      <c r="B36" s="237"/>
      <c r="C36" s="237"/>
      <c r="D36" s="236"/>
      <c r="E36" s="236"/>
      <c r="F36" s="236"/>
      <c r="G36" s="236"/>
      <c r="H36" s="236"/>
      <c r="I36" s="236"/>
      <c r="J36" s="236"/>
      <c r="K36" s="236"/>
      <c r="L36" s="236"/>
      <c r="M36" s="236"/>
      <c r="N36" s="236"/>
      <c r="O36" s="236"/>
      <c r="P36" s="236"/>
      <c r="Q36" s="236"/>
      <c r="R36" s="236"/>
      <c r="S36" s="236"/>
      <c r="T36" s="236"/>
      <c r="U36" s="236"/>
      <c r="V36" s="236"/>
      <c r="W36" s="236"/>
    </row>
    <row r="37" spans="1:24" x14ac:dyDescent="0.3">
      <c r="B37" s="237">
        <v>5.5</v>
      </c>
      <c r="C37" s="237"/>
      <c r="D37" s="236">
        <f>ROUNDDOWN(((5280*(D$21-10)*($B37+((0.04*(D$21-21))+0.94)))/3600)-70,0)</f>
        <v>129</v>
      </c>
      <c r="E37" s="236"/>
      <c r="F37" s="236">
        <f>ROUNDDOWN(((5280*(F$21-10)*($B37+((0.04*(F$21-21))+0.94)))/3600)-70,0)</f>
        <v>186</v>
      </c>
      <c r="G37" s="236"/>
      <c r="H37" s="236">
        <f>ROUNDDOWN(((5280*(H$21-10)*($B37+((0.04*(H$21-21))+0.94)))/3600)-70,0)</f>
        <v>246</v>
      </c>
      <c r="I37" s="236"/>
      <c r="J37" s="236">
        <f>ROUNDDOWN(((5280*(J$21-10)*($B37+((0.04*(J$21-21))+0.94)))/3600)-70,0)</f>
        <v>309</v>
      </c>
      <c r="K37" s="236"/>
      <c r="L37" s="236">
        <f>ROUNDDOWN(((5280*(L$21-10)*($B37+((0.04*(L$21-21))+0.94)))/3600)-70,0)</f>
        <v>375</v>
      </c>
      <c r="M37" s="236"/>
      <c r="N37" s="236">
        <f>ROUNDDOWN(((5280*(N$21-10)*($B37+((0.04*(N$21-21))+0.94)))/3600)-70,0)</f>
        <v>444</v>
      </c>
      <c r="O37" s="236"/>
      <c r="P37" s="236">
        <f>ROUNDDOWN(((5280*(P$21-10)*($B37+((0.04*(P$21-21))+0.94)))/3600)-70,0)</f>
        <v>516</v>
      </c>
      <c r="Q37" s="236"/>
      <c r="R37" s="236">
        <f>ROUNDDOWN(((5280*(R$21-10)*($B37+((0.04*(R$21-21))+0.94)))/3600)-70,0)</f>
        <v>591</v>
      </c>
      <c r="S37" s="236"/>
      <c r="T37" s="236">
        <f>ROUNDDOWN(((5280*(T$21-10)*($B37+((0.04*(T$21-21))+0.94)))/3600)-70,0)</f>
        <v>669</v>
      </c>
      <c r="U37" s="236"/>
      <c r="V37" s="236">
        <f>ROUNDDOWN(((5280*(V$21-10)*($B37+((0.04*(V$21-21))+0.94)))/3600)-70,0)</f>
        <v>749</v>
      </c>
      <c r="W37" s="236"/>
    </row>
    <row r="38" spans="1:24" x14ac:dyDescent="0.3">
      <c r="B38" s="237"/>
      <c r="C38" s="237"/>
      <c r="D38" s="236"/>
      <c r="E38" s="236"/>
      <c r="F38" s="236"/>
      <c r="G38" s="236"/>
      <c r="H38" s="236"/>
      <c r="I38" s="236"/>
      <c r="J38" s="236"/>
      <c r="K38" s="236"/>
      <c r="L38" s="236"/>
      <c r="M38" s="236"/>
      <c r="N38" s="236"/>
      <c r="O38" s="236"/>
      <c r="P38" s="236"/>
      <c r="Q38" s="236"/>
      <c r="R38" s="236"/>
      <c r="S38" s="236"/>
      <c r="T38" s="236"/>
      <c r="U38" s="236"/>
      <c r="V38" s="236"/>
      <c r="W38" s="236"/>
    </row>
    <row r="39" spans="1:24" x14ac:dyDescent="0.3">
      <c r="B39" s="237">
        <v>6</v>
      </c>
      <c r="C39" s="237"/>
      <c r="D39" s="236">
        <f>ROUNDDOWN(((5280*(D$21-10)*($B39+((0.04*(D$21-21))+0.94)))/3600)-70,0)</f>
        <v>144</v>
      </c>
      <c r="E39" s="236"/>
      <c r="F39" s="236">
        <f>ROUNDDOWN(((5280*(F$21-10)*($B39+((0.04*(F$21-21))+0.94)))/3600)-70,0)</f>
        <v>205</v>
      </c>
      <c r="G39" s="236"/>
      <c r="H39" s="236">
        <f>ROUNDDOWN(((5280*(H$21-10)*($B39+((0.04*(H$21-21))+0.94)))/3600)-70,0)</f>
        <v>268</v>
      </c>
      <c r="I39" s="236"/>
      <c r="J39" s="236">
        <f>ROUNDDOWN(((5280*(J$21-10)*($B39+((0.04*(J$21-21))+0.94)))/3600)-70,0)</f>
        <v>335</v>
      </c>
      <c r="K39" s="236"/>
      <c r="L39" s="236">
        <f>ROUNDDOWN(((5280*(L$21-10)*($B39+((0.04*(L$21-21))+0.94)))/3600)-70,0)</f>
        <v>405</v>
      </c>
      <c r="M39" s="236"/>
      <c r="N39" s="236">
        <f>ROUNDDOWN(((5280*(N$21-10)*($B39+((0.04*(N$21-21))+0.94)))/3600)-70,0)</f>
        <v>477</v>
      </c>
      <c r="O39" s="236"/>
      <c r="P39" s="236">
        <f>ROUNDDOWN(((5280*(P$21-10)*($B39+((0.04*(P$21-21))+0.94)))/3600)-70,0)</f>
        <v>553</v>
      </c>
      <c r="Q39" s="236"/>
      <c r="R39" s="236">
        <f>ROUNDDOWN(((5280*(R$21-10)*($B39+((0.04*(R$21-21))+0.94)))/3600)-70,0)</f>
        <v>631</v>
      </c>
      <c r="S39" s="236"/>
      <c r="T39" s="236">
        <f>ROUNDDOWN(((5280*(T$21-10)*($B39+((0.04*(T$21-21))+0.94)))/3600)-70,0)</f>
        <v>713</v>
      </c>
      <c r="U39" s="236"/>
      <c r="V39" s="236">
        <f>ROUNDDOWN(((5280*(V$21-10)*($B39+((0.04*(V$21-21))+0.94)))/3600)-70,0)</f>
        <v>797</v>
      </c>
      <c r="W39" s="236"/>
    </row>
    <row r="40" spans="1:24" x14ac:dyDescent="0.3">
      <c r="B40" s="237"/>
      <c r="C40" s="237"/>
      <c r="D40" s="236"/>
      <c r="E40" s="236"/>
      <c r="F40" s="236"/>
      <c r="G40" s="236"/>
      <c r="H40" s="236"/>
      <c r="I40" s="236"/>
      <c r="J40" s="236"/>
      <c r="K40" s="236"/>
      <c r="L40" s="236"/>
      <c r="M40" s="236"/>
      <c r="N40" s="236"/>
      <c r="O40" s="236"/>
      <c r="P40" s="236"/>
      <c r="Q40" s="236"/>
      <c r="R40" s="236"/>
      <c r="S40" s="236"/>
      <c r="T40" s="236"/>
      <c r="U40" s="236"/>
      <c r="V40" s="236"/>
      <c r="W40" s="236"/>
    </row>
    <row r="42" spans="1:24" x14ac:dyDescent="0.3">
      <c r="A42" s="238" t="s">
        <v>120</v>
      </c>
      <c r="B42" s="238"/>
      <c r="C42" s="238"/>
      <c r="D42" s="238"/>
      <c r="E42" s="238"/>
      <c r="F42" s="238"/>
      <c r="G42" s="238"/>
      <c r="H42" s="238"/>
      <c r="I42" s="238"/>
      <c r="J42" s="238"/>
      <c r="K42" s="238"/>
      <c r="L42" s="238"/>
      <c r="M42" s="238"/>
      <c r="N42" s="238"/>
      <c r="O42" s="238"/>
      <c r="P42" s="238"/>
      <c r="Q42" s="238"/>
      <c r="R42" s="238"/>
      <c r="S42" s="238"/>
      <c r="T42" s="238"/>
      <c r="U42" s="238"/>
      <c r="V42" s="238"/>
      <c r="W42" s="238"/>
      <c r="X42" s="238"/>
    </row>
    <row r="43" spans="1:24" x14ac:dyDescent="0.3">
      <c r="A43" s="252" t="s">
        <v>56</v>
      </c>
      <c r="B43" s="252" t="s">
        <v>57</v>
      </c>
      <c r="C43" s="252" t="s">
        <v>58</v>
      </c>
      <c r="D43" s="252" t="s">
        <v>59</v>
      </c>
      <c r="E43" s="252" t="s">
        <v>60</v>
      </c>
      <c r="F43" s="253" t="s">
        <v>65</v>
      </c>
      <c r="G43" s="253"/>
      <c r="H43" s="253"/>
      <c r="I43" s="253"/>
      <c r="J43" s="253"/>
      <c r="K43" s="253"/>
      <c r="L43" s="253"/>
      <c r="M43" s="253"/>
      <c r="N43" s="253"/>
      <c r="O43" s="253"/>
      <c r="P43" s="253"/>
      <c r="Q43" s="253"/>
      <c r="R43" s="253"/>
      <c r="S43" s="253"/>
      <c r="T43" s="253"/>
      <c r="U43" s="253"/>
      <c r="V43" s="253"/>
      <c r="W43" s="253"/>
      <c r="X43" s="253"/>
    </row>
    <row r="44" spans="1:24" x14ac:dyDescent="0.3">
      <c r="A44" s="252"/>
      <c r="B44" s="252"/>
      <c r="C44" s="252"/>
      <c r="D44" s="252"/>
      <c r="E44" s="252"/>
      <c r="F44" s="253"/>
      <c r="G44" s="253"/>
      <c r="H44" s="253"/>
      <c r="I44" s="253"/>
      <c r="J44" s="253"/>
      <c r="K44" s="253"/>
      <c r="L44" s="253"/>
      <c r="M44" s="253"/>
      <c r="N44" s="253"/>
      <c r="O44" s="253"/>
      <c r="P44" s="253"/>
      <c r="Q44" s="253"/>
      <c r="R44" s="253"/>
      <c r="S44" s="253"/>
      <c r="T44" s="253"/>
      <c r="U44" s="253"/>
      <c r="V44" s="253"/>
      <c r="W44" s="253"/>
      <c r="X44" s="253"/>
    </row>
    <row r="45" spans="1:24" x14ac:dyDescent="0.3">
      <c r="A45" s="252"/>
      <c r="B45" s="252"/>
      <c r="C45" s="252"/>
      <c r="D45" s="252"/>
      <c r="E45" s="252"/>
      <c r="F45" s="253"/>
      <c r="G45" s="253"/>
      <c r="H45" s="253"/>
      <c r="I45" s="253"/>
      <c r="J45" s="253"/>
      <c r="K45" s="253"/>
      <c r="L45" s="253"/>
      <c r="M45" s="253"/>
      <c r="N45" s="253"/>
      <c r="O45" s="253"/>
      <c r="P45" s="253"/>
      <c r="Q45" s="253"/>
      <c r="R45" s="253"/>
      <c r="S45" s="253"/>
      <c r="T45" s="253"/>
      <c r="U45" s="253"/>
      <c r="V45" s="253"/>
      <c r="W45" s="253"/>
      <c r="X45" s="253"/>
    </row>
    <row r="46" spans="1:24" x14ac:dyDescent="0.3">
      <c r="A46" s="252"/>
      <c r="B46" s="252"/>
      <c r="C46" s="252"/>
      <c r="D46" s="252"/>
      <c r="E46" s="252"/>
      <c r="F46" s="253"/>
      <c r="G46" s="253"/>
      <c r="H46" s="253"/>
      <c r="I46" s="253"/>
      <c r="J46" s="253"/>
      <c r="K46" s="253"/>
      <c r="L46" s="253"/>
      <c r="M46" s="253"/>
      <c r="N46" s="253"/>
      <c r="O46" s="253"/>
      <c r="P46" s="253"/>
      <c r="Q46" s="253"/>
      <c r="R46" s="253"/>
      <c r="S46" s="253"/>
      <c r="T46" s="253"/>
      <c r="U46" s="253"/>
      <c r="V46" s="253"/>
      <c r="W46" s="253"/>
      <c r="X46" s="253"/>
    </row>
    <row r="47" spans="1:24" x14ac:dyDescent="0.3">
      <c r="A47" s="252"/>
      <c r="B47" s="252"/>
      <c r="C47" s="252"/>
      <c r="D47" s="252"/>
      <c r="E47" s="252"/>
      <c r="F47" s="253"/>
      <c r="G47" s="253"/>
      <c r="H47" s="253"/>
      <c r="I47" s="253"/>
      <c r="J47" s="253"/>
      <c r="K47" s="253"/>
      <c r="L47" s="253"/>
      <c r="M47" s="253"/>
      <c r="N47" s="253"/>
      <c r="O47" s="253"/>
      <c r="P47" s="253"/>
      <c r="Q47" s="253"/>
      <c r="R47" s="253"/>
      <c r="S47" s="253"/>
      <c r="T47" s="253"/>
      <c r="U47" s="253"/>
      <c r="V47" s="253"/>
      <c r="W47" s="253"/>
      <c r="X47" s="253"/>
    </row>
    <row r="48" spans="1:24" x14ac:dyDescent="0.3">
      <c r="A48" s="252"/>
      <c r="B48" s="252"/>
      <c r="C48" s="252"/>
      <c r="D48" s="252"/>
      <c r="E48" s="252"/>
      <c r="F48" s="253"/>
      <c r="G48" s="253"/>
      <c r="H48" s="253"/>
      <c r="I48" s="253"/>
      <c r="J48" s="253"/>
      <c r="K48" s="253"/>
      <c r="L48" s="253"/>
      <c r="M48" s="253"/>
      <c r="N48" s="253"/>
      <c r="O48" s="253"/>
      <c r="P48" s="253"/>
      <c r="Q48" s="253"/>
      <c r="R48" s="253"/>
      <c r="S48" s="253"/>
      <c r="T48" s="253"/>
      <c r="U48" s="253"/>
      <c r="V48" s="253"/>
      <c r="W48" s="253"/>
      <c r="X48" s="253"/>
    </row>
    <row r="49" spans="1:24" x14ac:dyDescent="0.3">
      <c r="A49" s="252"/>
      <c r="B49" s="252"/>
      <c r="C49" s="252"/>
      <c r="D49" s="252"/>
      <c r="E49" s="252"/>
      <c r="F49" s="253"/>
      <c r="G49" s="253"/>
      <c r="H49" s="253"/>
      <c r="I49" s="253"/>
      <c r="J49" s="253"/>
      <c r="K49" s="253"/>
      <c r="L49" s="253"/>
      <c r="M49" s="253"/>
      <c r="N49" s="253"/>
      <c r="O49" s="253"/>
      <c r="P49" s="253"/>
      <c r="Q49" s="253"/>
      <c r="R49" s="253"/>
      <c r="S49" s="253"/>
      <c r="T49" s="253"/>
      <c r="U49" s="253"/>
      <c r="V49" s="253"/>
      <c r="W49" s="253"/>
      <c r="X49" s="253"/>
    </row>
    <row r="50" spans="1:24" x14ac:dyDescent="0.3">
      <c r="A50" s="252"/>
      <c r="B50" s="252"/>
      <c r="C50" s="252"/>
      <c r="D50" s="252"/>
      <c r="E50" s="252"/>
      <c r="F50" s="253"/>
      <c r="G50" s="253"/>
      <c r="H50" s="253"/>
      <c r="I50" s="253"/>
      <c r="J50" s="253"/>
      <c r="K50" s="253"/>
      <c r="L50" s="253"/>
      <c r="M50" s="253"/>
      <c r="N50" s="253"/>
      <c r="O50" s="253"/>
      <c r="P50" s="253"/>
      <c r="Q50" s="253"/>
      <c r="R50" s="253"/>
      <c r="S50" s="253"/>
      <c r="T50" s="253"/>
      <c r="U50" s="253"/>
      <c r="V50" s="253"/>
      <c r="W50" s="253"/>
      <c r="X50" s="253"/>
    </row>
    <row r="51" spans="1:24" x14ac:dyDescent="0.3">
      <c r="A51" s="252"/>
      <c r="B51" s="252"/>
      <c r="C51" s="252"/>
      <c r="D51" s="252"/>
      <c r="E51" s="252"/>
      <c r="F51" s="253"/>
      <c r="G51" s="253"/>
      <c r="H51" s="253"/>
      <c r="I51" s="253"/>
      <c r="J51" s="253"/>
      <c r="K51" s="253"/>
      <c r="L51" s="253"/>
      <c r="M51" s="253"/>
      <c r="N51" s="253"/>
      <c r="O51" s="253"/>
      <c r="P51" s="253"/>
      <c r="Q51" s="253"/>
      <c r="R51" s="253"/>
      <c r="S51" s="253"/>
      <c r="T51" s="253"/>
      <c r="U51" s="253"/>
      <c r="V51" s="253"/>
      <c r="W51" s="253"/>
      <c r="X51" s="253"/>
    </row>
    <row r="52" spans="1:24" x14ac:dyDescent="0.3">
      <c r="A52" s="250">
        <v>1</v>
      </c>
      <c r="B52" s="250" t="s">
        <v>61</v>
      </c>
      <c r="C52" s="250" t="s">
        <v>61</v>
      </c>
      <c r="D52" s="250" t="s">
        <v>62</v>
      </c>
      <c r="E52" s="250" t="s">
        <v>62</v>
      </c>
      <c r="F52" s="251" t="s">
        <v>68</v>
      </c>
      <c r="G52" s="251"/>
      <c r="H52" s="251"/>
      <c r="I52" s="251"/>
      <c r="J52" s="251"/>
      <c r="K52" s="251"/>
      <c r="L52" s="251"/>
      <c r="M52" s="251"/>
      <c r="N52" s="251"/>
      <c r="O52" s="251"/>
      <c r="P52" s="251"/>
      <c r="Q52" s="251"/>
      <c r="R52" s="251"/>
      <c r="S52" s="251"/>
      <c r="T52" s="251"/>
      <c r="U52" s="251"/>
      <c r="V52" s="251"/>
      <c r="W52" s="251"/>
      <c r="X52" s="251"/>
    </row>
    <row r="53" spans="1:24" x14ac:dyDescent="0.3">
      <c r="A53" s="250"/>
      <c r="B53" s="250"/>
      <c r="C53" s="250"/>
      <c r="D53" s="250"/>
      <c r="E53" s="250"/>
      <c r="F53" s="251"/>
      <c r="G53" s="251"/>
      <c r="H53" s="251"/>
      <c r="I53" s="251"/>
      <c r="J53" s="251"/>
      <c r="K53" s="251"/>
      <c r="L53" s="251"/>
      <c r="M53" s="251"/>
      <c r="N53" s="251"/>
      <c r="O53" s="251"/>
      <c r="P53" s="251"/>
      <c r="Q53" s="251"/>
      <c r="R53" s="251"/>
      <c r="S53" s="251"/>
      <c r="T53" s="251"/>
      <c r="U53" s="251"/>
      <c r="V53" s="251"/>
      <c r="W53" s="251"/>
      <c r="X53" s="251"/>
    </row>
    <row r="54" spans="1:24" x14ac:dyDescent="0.3">
      <c r="A54" s="250"/>
      <c r="B54" s="250"/>
      <c r="C54" s="250"/>
      <c r="D54" s="250"/>
      <c r="E54" s="250"/>
      <c r="F54" s="251"/>
      <c r="G54" s="251"/>
      <c r="H54" s="251"/>
      <c r="I54" s="251"/>
      <c r="J54" s="251"/>
      <c r="K54" s="251"/>
      <c r="L54" s="251"/>
      <c r="M54" s="251"/>
      <c r="N54" s="251"/>
      <c r="O54" s="251"/>
      <c r="P54" s="251"/>
      <c r="Q54" s="251"/>
      <c r="R54" s="251"/>
      <c r="S54" s="251"/>
      <c r="T54" s="251"/>
      <c r="U54" s="251"/>
      <c r="V54" s="251"/>
      <c r="W54" s="251"/>
      <c r="X54" s="251"/>
    </row>
    <row r="55" spans="1:24" x14ac:dyDescent="0.3">
      <c r="A55" s="250"/>
      <c r="B55" s="250"/>
      <c r="C55" s="250"/>
      <c r="D55" s="250"/>
      <c r="E55" s="250"/>
      <c r="F55" s="251"/>
      <c r="G55" s="251"/>
      <c r="H55" s="251"/>
      <c r="I55" s="251"/>
      <c r="J55" s="251"/>
      <c r="K55" s="251"/>
      <c r="L55" s="251"/>
      <c r="M55" s="251"/>
      <c r="N55" s="251"/>
      <c r="O55" s="251"/>
      <c r="P55" s="251"/>
      <c r="Q55" s="251"/>
      <c r="R55" s="251"/>
      <c r="S55" s="251"/>
      <c r="T55" s="251"/>
      <c r="U55" s="251"/>
      <c r="V55" s="251"/>
      <c r="W55" s="251"/>
      <c r="X55" s="251"/>
    </row>
    <row r="56" spans="1:24" x14ac:dyDescent="0.3">
      <c r="A56" s="250">
        <v>2</v>
      </c>
      <c r="B56" s="250" t="s">
        <v>61</v>
      </c>
      <c r="C56" s="250" t="s">
        <v>61</v>
      </c>
      <c r="D56" s="250" t="s">
        <v>63</v>
      </c>
      <c r="E56" s="250" t="s">
        <v>63</v>
      </c>
      <c r="F56" s="251" t="s">
        <v>123</v>
      </c>
      <c r="G56" s="251"/>
      <c r="H56" s="251"/>
      <c r="I56" s="251"/>
      <c r="J56" s="251"/>
      <c r="K56" s="251"/>
      <c r="L56" s="251"/>
      <c r="M56" s="251"/>
      <c r="N56" s="251"/>
      <c r="O56" s="251"/>
      <c r="P56" s="251"/>
      <c r="Q56" s="251"/>
      <c r="R56" s="251"/>
      <c r="S56" s="251"/>
      <c r="T56" s="251"/>
      <c r="U56" s="251"/>
      <c r="V56" s="251"/>
      <c r="W56" s="251"/>
      <c r="X56" s="251"/>
    </row>
    <row r="57" spans="1:24" x14ac:dyDescent="0.3">
      <c r="A57" s="250"/>
      <c r="B57" s="250"/>
      <c r="C57" s="250"/>
      <c r="D57" s="250"/>
      <c r="E57" s="250"/>
      <c r="F57" s="251"/>
      <c r="G57" s="251"/>
      <c r="H57" s="251"/>
      <c r="I57" s="251"/>
      <c r="J57" s="251"/>
      <c r="K57" s="251"/>
      <c r="L57" s="251"/>
      <c r="M57" s="251"/>
      <c r="N57" s="251"/>
      <c r="O57" s="251"/>
      <c r="P57" s="251"/>
      <c r="Q57" s="251"/>
      <c r="R57" s="251"/>
      <c r="S57" s="251"/>
      <c r="T57" s="251"/>
      <c r="U57" s="251"/>
      <c r="V57" s="251"/>
      <c r="W57" s="251"/>
      <c r="X57" s="251"/>
    </row>
    <row r="58" spans="1:24" x14ac:dyDescent="0.3">
      <c r="A58" s="250"/>
      <c r="B58" s="250"/>
      <c r="C58" s="250"/>
      <c r="D58" s="250"/>
      <c r="E58" s="250"/>
      <c r="F58" s="251"/>
      <c r="G58" s="251"/>
      <c r="H58" s="251"/>
      <c r="I58" s="251"/>
      <c r="J58" s="251"/>
      <c r="K58" s="251"/>
      <c r="L58" s="251"/>
      <c r="M58" s="251"/>
      <c r="N58" s="251"/>
      <c r="O58" s="251"/>
      <c r="P58" s="251"/>
      <c r="Q58" s="251"/>
      <c r="R58" s="251"/>
      <c r="S58" s="251"/>
      <c r="T58" s="251"/>
      <c r="U58" s="251"/>
      <c r="V58" s="251"/>
      <c r="W58" s="251"/>
      <c r="X58" s="251"/>
    </row>
    <row r="59" spans="1:24" x14ac:dyDescent="0.3">
      <c r="A59" s="250">
        <v>3</v>
      </c>
      <c r="B59" s="250" t="s">
        <v>61</v>
      </c>
      <c r="C59" s="250" t="s">
        <v>64</v>
      </c>
      <c r="D59" s="250" t="s">
        <v>62</v>
      </c>
      <c r="E59" s="250" t="s">
        <v>62</v>
      </c>
      <c r="F59" s="251" t="s">
        <v>69</v>
      </c>
      <c r="G59" s="251"/>
      <c r="H59" s="251"/>
      <c r="I59" s="251"/>
      <c r="J59" s="251"/>
      <c r="K59" s="251"/>
      <c r="L59" s="251"/>
      <c r="M59" s="251"/>
      <c r="N59" s="251"/>
      <c r="O59" s="251"/>
      <c r="P59" s="251"/>
      <c r="Q59" s="251"/>
      <c r="R59" s="251"/>
      <c r="S59" s="251"/>
      <c r="T59" s="251"/>
      <c r="U59" s="251"/>
      <c r="V59" s="251"/>
      <c r="W59" s="251"/>
      <c r="X59" s="251"/>
    </row>
    <row r="60" spans="1:24" x14ac:dyDescent="0.3">
      <c r="A60" s="250"/>
      <c r="B60" s="250"/>
      <c r="C60" s="250"/>
      <c r="D60" s="250"/>
      <c r="E60" s="250"/>
      <c r="F60" s="251"/>
      <c r="G60" s="251"/>
      <c r="H60" s="251"/>
      <c r="I60" s="251"/>
      <c r="J60" s="251"/>
      <c r="K60" s="251"/>
      <c r="L60" s="251"/>
      <c r="M60" s="251"/>
      <c r="N60" s="251"/>
      <c r="O60" s="251"/>
      <c r="P60" s="251"/>
      <c r="Q60" s="251"/>
      <c r="R60" s="251"/>
      <c r="S60" s="251"/>
      <c r="T60" s="251"/>
      <c r="U60" s="251"/>
      <c r="V60" s="251"/>
      <c r="W60" s="251"/>
      <c r="X60" s="251"/>
    </row>
    <row r="61" spans="1:24" x14ac:dyDescent="0.3">
      <c r="A61" s="250"/>
      <c r="B61" s="250"/>
      <c r="C61" s="250"/>
      <c r="D61" s="250"/>
      <c r="E61" s="250"/>
      <c r="F61" s="251"/>
      <c r="G61" s="251"/>
      <c r="H61" s="251"/>
      <c r="I61" s="251"/>
      <c r="J61" s="251"/>
      <c r="K61" s="251"/>
      <c r="L61" s="251"/>
      <c r="M61" s="251"/>
      <c r="N61" s="251"/>
      <c r="O61" s="251"/>
      <c r="P61" s="251"/>
      <c r="Q61" s="251"/>
      <c r="R61" s="251"/>
      <c r="S61" s="251"/>
      <c r="T61" s="251"/>
      <c r="U61" s="251"/>
      <c r="V61" s="251"/>
      <c r="W61" s="251"/>
      <c r="X61" s="251"/>
    </row>
    <row r="62" spans="1:24" x14ac:dyDescent="0.3">
      <c r="A62" s="250"/>
      <c r="B62" s="250"/>
      <c r="C62" s="250"/>
      <c r="D62" s="250"/>
      <c r="E62" s="250"/>
      <c r="F62" s="251"/>
      <c r="G62" s="251"/>
      <c r="H62" s="251"/>
      <c r="I62" s="251"/>
      <c r="J62" s="251"/>
      <c r="K62" s="251"/>
      <c r="L62" s="251"/>
      <c r="M62" s="251"/>
      <c r="N62" s="251"/>
      <c r="O62" s="251"/>
      <c r="P62" s="251"/>
      <c r="Q62" s="251"/>
      <c r="R62" s="251"/>
      <c r="S62" s="251"/>
      <c r="T62" s="251"/>
      <c r="U62" s="251"/>
      <c r="V62" s="251"/>
      <c r="W62" s="251"/>
      <c r="X62" s="251"/>
    </row>
    <row r="63" spans="1:24" x14ac:dyDescent="0.3">
      <c r="A63" s="250"/>
      <c r="B63" s="250"/>
      <c r="C63" s="250"/>
      <c r="D63" s="250"/>
      <c r="E63" s="250"/>
      <c r="F63" s="251"/>
      <c r="G63" s="251"/>
      <c r="H63" s="251"/>
      <c r="I63" s="251"/>
      <c r="J63" s="251"/>
      <c r="K63" s="251"/>
      <c r="L63" s="251"/>
      <c r="M63" s="251"/>
      <c r="N63" s="251"/>
      <c r="O63" s="251"/>
      <c r="P63" s="251"/>
      <c r="Q63" s="251"/>
      <c r="R63" s="251"/>
      <c r="S63" s="251"/>
      <c r="T63" s="251"/>
      <c r="U63" s="251"/>
      <c r="V63" s="251"/>
      <c r="W63" s="251"/>
      <c r="X63" s="251"/>
    </row>
    <row r="64" spans="1:24" x14ac:dyDescent="0.3">
      <c r="A64" s="250">
        <v>4</v>
      </c>
      <c r="B64" s="250" t="s">
        <v>61</v>
      </c>
      <c r="C64" s="250" t="s">
        <v>64</v>
      </c>
      <c r="D64" s="250" t="s">
        <v>63</v>
      </c>
      <c r="E64" s="250" t="s">
        <v>63</v>
      </c>
      <c r="F64" s="251" t="s">
        <v>66</v>
      </c>
      <c r="G64" s="251"/>
      <c r="H64" s="251"/>
      <c r="I64" s="251"/>
      <c r="J64" s="251"/>
      <c r="K64" s="251"/>
      <c r="L64" s="251"/>
      <c r="M64" s="251"/>
      <c r="N64" s="251"/>
      <c r="O64" s="251"/>
      <c r="P64" s="251"/>
      <c r="Q64" s="251"/>
      <c r="R64" s="251"/>
      <c r="S64" s="251"/>
      <c r="T64" s="251"/>
      <c r="U64" s="251"/>
      <c r="V64" s="251"/>
      <c r="W64" s="251"/>
      <c r="X64" s="251"/>
    </row>
    <row r="65" spans="1:24" x14ac:dyDescent="0.3">
      <c r="A65" s="250"/>
      <c r="B65" s="250"/>
      <c r="C65" s="250"/>
      <c r="D65" s="250"/>
      <c r="E65" s="250"/>
      <c r="F65" s="251"/>
      <c r="G65" s="251"/>
      <c r="H65" s="251"/>
      <c r="I65" s="251"/>
      <c r="J65" s="251"/>
      <c r="K65" s="251"/>
      <c r="L65" s="251"/>
      <c r="M65" s="251"/>
      <c r="N65" s="251"/>
      <c r="O65" s="251"/>
      <c r="P65" s="251"/>
      <c r="Q65" s="251"/>
      <c r="R65" s="251"/>
      <c r="S65" s="251"/>
      <c r="T65" s="251"/>
      <c r="U65" s="251"/>
      <c r="V65" s="251"/>
      <c r="W65" s="251"/>
      <c r="X65" s="251"/>
    </row>
    <row r="66" spans="1:24" x14ac:dyDescent="0.3">
      <c r="A66" s="250"/>
      <c r="B66" s="250"/>
      <c r="C66" s="250"/>
      <c r="D66" s="250"/>
      <c r="E66" s="250"/>
      <c r="F66" s="251"/>
      <c r="G66" s="251"/>
      <c r="H66" s="251"/>
      <c r="I66" s="251"/>
      <c r="J66" s="251"/>
      <c r="K66" s="251"/>
      <c r="L66" s="251"/>
      <c r="M66" s="251"/>
      <c r="N66" s="251"/>
      <c r="O66" s="251"/>
      <c r="P66" s="251"/>
      <c r="Q66" s="251"/>
      <c r="R66" s="251"/>
      <c r="S66" s="251"/>
      <c r="T66" s="251"/>
      <c r="U66" s="251"/>
      <c r="V66" s="251"/>
      <c r="W66" s="251"/>
      <c r="X66" s="251"/>
    </row>
    <row r="67" spans="1:24" x14ac:dyDescent="0.3">
      <c r="A67" s="250"/>
      <c r="B67" s="250"/>
      <c r="C67" s="250"/>
      <c r="D67" s="250"/>
      <c r="E67" s="250"/>
      <c r="F67" s="251"/>
      <c r="G67" s="251"/>
      <c r="H67" s="251"/>
      <c r="I67" s="251"/>
      <c r="J67" s="251"/>
      <c r="K67" s="251"/>
      <c r="L67" s="251"/>
      <c r="M67" s="251"/>
      <c r="N67" s="251"/>
      <c r="O67" s="251"/>
      <c r="P67" s="251"/>
      <c r="Q67" s="251"/>
      <c r="R67" s="251"/>
      <c r="S67" s="251"/>
      <c r="T67" s="251"/>
      <c r="U67" s="251"/>
      <c r="V67" s="251"/>
      <c r="W67" s="251"/>
      <c r="X67" s="251"/>
    </row>
    <row r="68" spans="1:24" x14ac:dyDescent="0.3">
      <c r="A68" s="250">
        <v>5</v>
      </c>
      <c r="B68" s="250" t="s">
        <v>61</v>
      </c>
      <c r="C68" s="250" t="s">
        <v>61</v>
      </c>
      <c r="D68" s="250" t="s">
        <v>62</v>
      </c>
      <c r="E68" s="250" t="s">
        <v>63</v>
      </c>
      <c r="F68" s="251" t="s">
        <v>119</v>
      </c>
      <c r="G68" s="251"/>
      <c r="H68" s="251"/>
      <c r="I68" s="251"/>
      <c r="J68" s="251"/>
      <c r="K68" s="251"/>
      <c r="L68" s="251"/>
      <c r="M68" s="251"/>
      <c r="N68" s="251"/>
      <c r="O68" s="251"/>
      <c r="P68" s="251"/>
      <c r="Q68" s="251"/>
      <c r="R68" s="251"/>
      <c r="S68" s="251"/>
      <c r="T68" s="251"/>
      <c r="U68" s="251"/>
      <c r="V68" s="251"/>
      <c r="W68" s="251"/>
      <c r="X68" s="251"/>
    </row>
    <row r="69" spans="1:24" x14ac:dyDescent="0.3">
      <c r="A69" s="250"/>
      <c r="B69" s="250"/>
      <c r="C69" s="250"/>
      <c r="D69" s="250"/>
      <c r="E69" s="250"/>
      <c r="F69" s="251"/>
      <c r="G69" s="251"/>
      <c r="H69" s="251"/>
      <c r="I69" s="251"/>
      <c r="J69" s="251"/>
      <c r="K69" s="251"/>
      <c r="L69" s="251"/>
      <c r="M69" s="251"/>
      <c r="N69" s="251"/>
      <c r="O69" s="251"/>
      <c r="P69" s="251"/>
      <c r="Q69" s="251"/>
      <c r="R69" s="251"/>
      <c r="S69" s="251"/>
      <c r="T69" s="251"/>
      <c r="U69" s="251"/>
      <c r="V69" s="251"/>
      <c r="W69" s="251"/>
      <c r="X69" s="251"/>
    </row>
    <row r="70" spans="1:24" x14ac:dyDescent="0.3">
      <c r="A70" s="250"/>
      <c r="B70" s="250"/>
      <c r="C70" s="250"/>
      <c r="D70" s="250"/>
      <c r="E70" s="250"/>
      <c r="F70" s="251"/>
      <c r="G70" s="251"/>
      <c r="H70" s="251"/>
      <c r="I70" s="251"/>
      <c r="J70" s="251"/>
      <c r="K70" s="251"/>
      <c r="L70" s="251"/>
      <c r="M70" s="251"/>
      <c r="N70" s="251"/>
      <c r="O70" s="251"/>
      <c r="P70" s="251"/>
      <c r="Q70" s="251"/>
      <c r="R70" s="251"/>
      <c r="S70" s="251"/>
      <c r="T70" s="251"/>
      <c r="U70" s="251"/>
      <c r="V70" s="251"/>
      <c r="W70" s="251"/>
      <c r="X70" s="251"/>
    </row>
    <row r="71" spans="1:24" x14ac:dyDescent="0.3">
      <c r="A71" s="250">
        <v>6</v>
      </c>
      <c r="B71" s="250" t="s">
        <v>61</v>
      </c>
      <c r="C71" s="250" t="s">
        <v>64</v>
      </c>
      <c r="D71" s="250" t="s">
        <v>62</v>
      </c>
      <c r="E71" s="250" t="s">
        <v>63</v>
      </c>
      <c r="F71" s="251" t="s">
        <v>118</v>
      </c>
      <c r="G71" s="251"/>
      <c r="H71" s="251"/>
      <c r="I71" s="251"/>
      <c r="J71" s="251"/>
      <c r="K71" s="251"/>
      <c r="L71" s="251"/>
      <c r="M71" s="251"/>
      <c r="N71" s="251"/>
      <c r="O71" s="251"/>
      <c r="P71" s="251"/>
      <c r="Q71" s="251"/>
      <c r="R71" s="251"/>
      <c r="S71" s="251"/>
      <c r="T71" s="251"/>
      <c r="U71" s="251"/>
      <c r="V71" s="251"/>
      <c r="W71" s="251"/>
      <c r="X71" s="251"/>
    </row>
    <row r="72" spans="1:24" x14ac:dyDescent="0.3">
      <c r="A72" s="250"/>
      <c r="B72" s="250"/>
      <c r="C72" s="250"/>
      <c r="D72" s="250"/>
      <c r="E72" s="250"/>
      <c r="F72" s="251"/>
      <c r="G72" s="251"/>
      <c r="H72" s="251"/>
      <c r="I72" s="251"/>
      <c r="J72" s="251"/>
      <c r="K72" s="251"/>
      <c r="L72" s="251"/>
      <c r="M72" s="251"/>
      <c r="N72" s="251"/>
      <c r="O72" s="251"/>
      <c r="P72" s="251"/>
      <c r="Q72" s="251"/>
      <c r="R72" s="251"/>
      <c r="S72" s="251"/>
      <c r="T72" s="251"/>
      <c r="U72" s="251"/>
      <c r="V72" s="251"/>
      <c r="W72" s="251"/>
      <c r="X72" s="251"/>
    </row>
    <row r="73" spans="1:24" x14ac:dyDescent="0.3">
      <c r="A73" s="250"/>
      <c r="B73" s="250"/>
      <c r="C73" s="250"/>
      <c r="D73" s="250"/>
      <c r="E73" s="250"/>
      <c r="F73" s="251"/>
      <c r="G73" s="251"/>
      <c r="H73" s="251"/>
      <c r="I73" s="251"/>
      <c r="J73" s="251"/>
      <c r="K73" s="251"/>
      <c r="L73" s="251"/>
      <c r="M73" s="251"/>
      <c r="N73" s="251"/>
      <c r="O73" s="251"/>
      <c r="P73" s="251"/>
      <c r="Q73" s="251"/>
      <c r="R73" s="251"/>
      <c r="S73" s="251"/>
      <c r="T73" s="251"/>
      <c r="U73" s="251"/>
      <c r="V73" s="251"/>
      <c r="W73" s="251"/>
      <c r="X73" s="251"/>
    </row>
    <row r="74" spans="1:24" x14ac:dyDescent="0.3">
      <c r="A74" s="250">
        <v>7</v>
      </c>
      <c r="B74" s="250" t="s">
        <v>61</v>
      </c>
      <c r="C74" s="250" t="s">
        <v>64</v>
      </c>
      <c r="D74" s="250" t="s">
        <v>63</v>
      </c>
      <c r="E74" s="250" t="s">
        <v>62</v>
      </c>
      <c r="F74" s="251" t="s">
        <v>67</v>
      </c>
      <c r="G74" s="251"/>
      <c r="H74" s="251"/>
      <c r="I74" s="251"/>
      <c r="J74" s="251"/>
      <c r="K74" s="251"/>
      <c r="L74" s="251"/>
      <c r="M74" s="251"/>
      <c r="N74" s="251"/>
      <c r="O74" s="251"/>
      <c r="P74" s="251"/>
      <c r="Q74" s="251"/>
      <c r="R74" s="251"/>
      <c r="S74" s="251"/>
      <c r="T74" s="251"/>
      <c r="U74" s="251"/>
      <c r="V74" s="251"/>
      <c r="W74" s="251"/>
      <c r="X74" s="251"/>
    </row>
    <row r="75" spans="1:24" x14ac:dyDescent="0.3">
      <c r="A75" s="250"/>
      <c r="B75" s="250"/>
      <c r="C75" s="250"/>
      <c r="D75" s="250"/>
      <c r="E75" s="250"/>
      <c r="F75" s="251"/>
      <c r="G75" s="251"/>
      <c r="H75" s="251"/>
      <c r="I75" s="251"/>
      <c r="J75" s="251"/>
      <c r="K75" s="251"/>
      <c r="L75" s="251"/>
      <c r="M75" s="251"/>
      <c r="N75" s="251"/>
      <c r="O75" s="251"/>
      <c r="P75" s="251"/>
      <c r="Q75" s="251"/>
      <c r="R75" s="251"/>
      <c r="S75" s="251"/>
      <c r="T75" s="251"/>
      <c r="U75" s="251"/>
      <c r="V75" s="251"/>
      <c r="W75" s="251"/>
      <c r="X75" s="251"/>
    </row>
    <row r="76" spans="1:24" x14ac:dyDescent="0.3">
      <c r="A76" s="250"/>
      <c r="B76" s="250"/>
      <c r="C76" s="250"/>
      <c r="D76" s="250"/>
      <c r="E76" s="250"/>
      <c r="F76" s="251"/>
      <c r="G76" s="251"/>
      <c r="H76" s="251"/>
      <c r="I76" s="251"/>
      <c r="J76" s="251"/>
      <c r="K76" s="251"/>
      <c r="L76" s="251"/>
      <c r="M76" s="251"/>
      <c r="N76" s="251"/>
      <c r="O76" s="251"/>
      <c r="P76" s="251"/>
      <c r="Q76" s="251"/>
      <c r="R76" s="251"/>
      <c r="S76" s="251"/>
      <c r="T76" s="251"/>
      <c r="U76" s="251"/>
      <c r="V76" s="251"/>
      <c r="W76" s="251"/>
      <c r="X76" s="251"/>
    </row>
    <row r="77" spans="1:24" x14ac:dyDescent="0.3">
      <c r="A77" s="32"/>
      <c r="B77" s="33"/>
      <c r="C77" s="33"/>
      <c r="D77" s="33"/>
      <c r="E77" s="33"/>
      <c r="F77" s="33"/>
    </row>
    <row r="78" spans="1:24" ht="12.75" customHeight="1" x14ac:dyDescent="0.3">
      <c r="A78" s="227" t="s">
        <v>71</v>
      </c>
      <c r="B78" s="228"/>
      <c r="C78" s="228"/>
      <c r="D78" s="228"/>
      <c r="E78" s="228"/>
      <c r="F78" s="228"/>
      <c r="G78" s="228"/>
      <c r="H78" s="228"/>
      <c r="I78" s="228"/>
      <c r="J78" s="228"/>
      <c r="K78" s="228"/>
      <c r="L78" s="228"/>
      <c r="M78" s="228"/>
      <c r="N78" s="228"/>
      <c r="O78" s="228"/>
      <c r="P78" s="228"/>
      <c r="Q78" s="228"/>
      <c r="R78" s="228"/>
      <c r="S78" s="228"/>
      <c r="T78" s="228"/>
      <c r="U78" s="228"/>
      <c r="V78" s="228"/>
      <c r="W78" s="228"/>
      <c r="X78" s="229"/>
    </row>
    <row r="79" spans="1:24" x14ac:dyDescent="0.3">
      <c r="A79" s="230"/>
      <c r="B79" s="231"/>
      <c r="C79" s="231"/>
      <c r="D79" s="231"/>
      <c r="E79" s="231"/>
      <c r="F79" s="231"/>
      <c r="G79" s="231"/>
      <c r="H79" s="231"/>
      <c r="I79" s="231"/>
      <c r="J79" s="231"/>
      <c r="K79" s="231"/>
      <c r="L79" s="231"/>
      <c r="M79" s="231"/>
      <c r="N79" s="231"/>
      <c r="O79" s="231"/>
      <c r="P79" s="231"/>
      <c r="Q79" s="231"/>
      <c r="R79" s="231"/>
      <c r="S79" s="231"/>
      <c r="T79" s="231"/>
      <c r="U79" s="231"/>
      <c r="V79" s="231"/>
      <c r="W79" s="231"/>
      <c r="X79" s="232"/>
    </row>
    <row r="80" spans="1:24" x14ac:dyDescent="0.3">
      <c r="A80" s="230"/>
      <c r="B80" s="231"/>
      <c r="C80" s="231"/>
      <c r="D80" s="231"/>
      <c r="E80" s="231"/>
      <c r="F80" s="231"/>
      <c r="G80" s="231"/>
      <c r="H80" s="231"/>
      <c r="I80" s="231"/>
      <c r="J80" s="231"/>
      <c r="K80" s="231"/>
      <c r="L80" s="231"/>
      <c r="M80" s="231"/>
      <c r="N80" s="231"/>
      <c r="O80" s="231"/>
      <c r="P80" s="231"/>
      <c r="Q80" s="231"/>
      <c r="R80" s="231"/>
      <c r="S80" s="231"/>
      <c r="T80" s="231"/>
      <c r="U80" s="231"/>
      <c r="V80" s="231"/>
      <c r="W80" s="231"/>
      <c r="X80" s="232"/>
    </row>
    <row r="81" spans="1:25" x14ac:dyDescent="0.3">
      <c r="A81" s="230"/>
      <c r="B81" s="231"/>
      <c r="C81" s="231"/>
      <c r="D81" s="231"/>
      <c r="E81" s="231"/>
      <c r="F81" s="231"/>
      <c r="G81" s="231"/>
      <c r="H81" s="231"/>
      <c r="I81" s="231"/>
      <c r="J81" s="231"/>
      <c r="K81" s="231"/>
      <c r="L81" s="231"/>
      <c r="M81" s="231"/>
      <c r="N81" s="231"/>
      <c r="O81" s="231"/>
      <c r="P81" s="231"/>
      <c r="Q81" s="231"/>
      <c r="R81" s="231"/>
      <c r="S81" s="231"/>
      <c r="T81" s="231"/>
      <c r="U81" s="231"/>
      <c r="V81" s="231"/>
      <c r="W81" s="231"/>
      <c r="X81" s="232"/>
    </row>
    <row r="82" spans="1:25" x14ac:dyDescent="0.3">
      <c r="A82" s="230"/>
      <c r="B82" s="231"/>
      <c r="C82" s="231"/>
      <c r="D82" s="231"/>
      <c r="E82" s="231"/>
      <c r="F82" s="231"/>
      <c r="G82" s="231"/>
      <c r="H82" s="231"/>
      <c r="I82" s="231"/>
      <c r="J82" s="231"/>
      <c r="K82" s="231"/>
      <c r="L82" s="231"/>
      <c r="M82" s="231"/>
      <c r="N82" s="231"/>
      <c r="O82" s="231"/>
      <c r="P82" s="231"/>
      <c r="Q82" s="231"/>
      <c r="R82" s="231"/>
      <c r="S82" s="231"/>
      <c r="T82" s="231"/>
      <c r="U82" s="231"/>
      <c r="V82" s="231"/>
      <c r="W82" s="231"/>
      <c r="X82" s="232"/>
    </row>
    <row r="83" spans="1:25" x14ac:dyDescent="0.3">
      <c r="A83" s="230"/>
      <c r="B83" s="231"/>
      <c r="C83" s="231"/>
      <c r="D83" s="231"/>
      <c r="E83" s="231"/>
      <c r="F83" s="231"/>
      <c r="G83" s="231"/>
      <c r="H83" s="231"/>
      <c r="I83" s="231"/>
      <c r="J83" s="231"/>
      <c r="K83" s="231"/>
      <c r="L83" s="231"/>
      <c r="M83" s="231"/>
      <c r="N83" s="231"/>
      <c r="O83" s="231"/>
      <c r="P83" s="231"/>
      <c r="Q83" s="231"/>
      <c r="R83" s="231"/>
      <c r="S83" s="231"/>
      <c r="T83" s="231"/>
      <c r="U83" s="231"/>
      <c r="V83" s="231"/>
      <c r="W83" s="231"/>
      <c r="X83" s="232"/>
    </row>
    <row r="84" spans="1:25" x14ac:dyDescent="0.3">
      <c r="A84" s="230"/>
      <c r="B84" s="231"/>
      <c r="C84" s="231"/>
      <c r="D84" s="231"/>
      <c r="E84" s="231"/>
      <c r="F84" s="231"/>
      <c r="G84" s="231"/>
      <c r="H84" s="231"/>
      <c r="I84" s="231"/>
      <c r="J84" s="231"/>
      <c r="K84" s="231"/>
      <c r="L84" s="231"/>
      <c r="M84" s="231"/>
      <c r="N84" s="231"/>
      <c r="O84" s="231"/>
      <c r="P84" s="231"/>
      <c r="Q84" s="231"/>
      <c r="R84" s="231"/>
      <c r="S84" s="231"/>
      <c r="T84" s="231"/>
      <c r="U84" s="231"/>
      <c r="V84" s="231"/>
      <c r="W84" s="231"/>
      <c r="X84" s="232"/>
    </row>
    <row r="85" spans="1:25" x14ac:dyDescent="0.3">
      <c r="A85" s="230"/>
      <c r="B85" s="231"/>
      <c r="C85" s="231"/>
      <c r="D85" s="231"/>
      <c r="E85" s="231"/>
      <c r="F85" s="231"/>
      <c r="G85" s="231"/>
      <c r="H85" s="231"/>
      <c r="I85" s="231"/>
      <c r="J85" s="231"/>
      <c r="K85" s="231"/>
      <c r="L85" s="231"/>
      <c r="M85" s="231"/>
      <c r="N85" s="231"/>
      <c r="O85" s="231"/>
      <c r="P85" s="231"/>
      <c r="Q85" s="231"/>
      <c r="R85" s="231"/>
      <c r="S85" s="231"/>
      <c r="T85" s="231"/>
      <c r="U85" s="231"/>
      <c r="V85" s="231"/>
      <c r="W85" s="231"/>
      <c r="X85" s="232"/>
    </row>
    <row r="86" spans="1:25" x14ac:dyDescent="0.3">
      <c r="A86" s="230"/>
      <c r="B86" s="231"/>
      <c r="C86" s="231"/>
      <c r="D86" s="231"/>
      <c r="E86" s="231"/>
      <c r="F86" s="231"/>
      <c r="G86" s="231"/>
      <c r="H86" s="231"/>
      <c r="I86" s="231"/>
      <c r="J86" s="231"/>
      <c r="K86" s="231"/>
      <c r="L86" s="231"/>
      <c r="M86" s="231"/>
      <c r="N86" s="231"/>
      <c r="O86" s="231"/>
      <c r="P86" s="231"/>
      <c r="Q86" s="231"/>
      <c r="R86" s="231"/>
      <c r="S86" s="231"/>
      <c r="T86" s="231"/>
      <c r="U86" s="231"/>
      <c r="V86" s="231"/>
      <c r="W86" s="231"/>
      <c r="X86" s="232"/>
    </row>
    <row r="87" spans="1:25" x14ac:dyDescent="0.3">
      <c r="A87" s="233"/>
      <c r="B87" s="234"/>
      <c r="C87" s="234"/>
      <c r="D87" s="234"/>
      <c r="E87" s="234"/>
      <c r="F87" s="234"/>
      <c r="G87" s="234"/>
      <c r="H87" s="234"/>
      <c r="I87" s="234"/>
      <c r="J87" s="234"/>
      <c r="K87" s="234"/>
      <c r="L87" s="234"/>
      <c r="M87" s="234"/>
      <c r="N87" s="234"/>
      <c r="O87" s="234"/>
      <c r="P87" s="234"/>
      <c r="Q87" s="234"/>
      <c r="R87" s="234"/>
      <c r="S87" s="234"/>
      <c r="T87" s="234"/>
      <c r="U87" s="234"/>
      <c r="V87" s="234"/>
      <c r="W87" s="234"/>
      <c r="X87" s="235"/>
    </row>
    <row r="88" spans="1:25"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1"/>
    </row>
  </sheetData>
  <sheetProtection sheet="1" objects="1" scenarios="1"/>
  <mergeCells count="187">
    <mergeCell ref="A52:A55"/>
    <mergeCell ref="B52:B55"/>
    <mergeCell ref="C52:C55"/>
    <mergeCell ref="D52:D55"/>
    <mergeCell ref="E52:E55"/>
    <mergeCell ref="F52:X55"/>
    <mergeCell ref="A43:A51"/>
    <mergeCell ref="B43:B51"/>
    <mergeCell ref="C43:C51"/>
    <mergeCell ref="D43:D51"/>
    <mergeCell ref="E43:E51"/>
    <mergeCell ref="F43:X51"/>
    <mergeCell ref="A59:A63"/>
    <mergeCell ref="B59:B63"/>
    <mergeCell ref="C59:C63"/>
    <mergeCell ref="D59:D63"/>
    <mergeCell ref="E59:E63"/>
    <mergeCell ref="F59:X63"/>
    <mergeCell ref="A56:A58"/>
    <mergeCell ref="B56:B58"/>
    <mergeCell ref="C56:C58"/>
    <mergeCell ref="D56:D58"/>
    <mergeCell ref="E56:E58"/>
    <mergeCell ref="F56:X58"/>
    <mergeCell ref="A68:A70"/>
    <mergeCell ref="B68:B70"/>
    <mergeCell ref="C68:C70"/>
    <mergeCell ref="D68:D70"/>
    <mergeCell ref="E68:E70"/>
    <mergeCell ref="F68:X70"/>
    <mergeCell ref="A64:A67"/>
    <mergeCell ref="B64:B67"/>
    <mergeCell ref="C64:C67"/>
    <mergeCell ref="D64:D67"/>
    <mergeCell ref="E64:E67"/>
    <mergeCell ref="F64:X67"/>
    <mergeCell ref="A74:A76"/>
    <mergeCell ref="B74:B76"/>
    <mergeCell ref="C74:C76"/>
    <mergeCell ref="D74:D76"/>
    <mergeCell ref="E74:E76"/>
    <mergeCell ref="F74:X76"/>
    <mergeCell ref="A71:A73"/>
    <mergeCell ref="B71:B73"/>
    <mergeCell ref="C71:C73"/>
    <mergeCell ref="D71:D73"/>
    <mergeCell ref="E71:E73"/>
    <mergeCell ref="F71:X73"/>
    <mergeCell ref="A1:X1"/>
    <mergeCell ref="F6:G6"/>
    <mergeCell ref="A8:B8"/>
    <mergeCell ref="A9:B9"/>
    <mergeCell ref="A10:B10"/>
    <mergeCell ref="A11:B11"/>
    <mergeCell ref="A14:B14"/>
    <mergeCell ref="A16:B16"/>
    <mergeCell ref="A12:B12"/>
    <mergeCell ref="A15:B15"/>
    <mergeCell ref="A13:B13"/>
    <mergeCell ref="C10:X10"/>
    <mergeCell ref="C11:X11"/>
    <mergeCell ref="C8:X8"/>
    <mergeCell ref="C9:X9"/>
    <mergeCell ref="A6:C6"/>
    <mergeCell ref="A2:X2"/>
    <mergeCell ref="A4:X4"/>
    <mergeCell ref="R6:W6"/>
    <mergeCell ref="J6:O6"/>
    <mergeCell ref="A18:X18"/>
    <mergeCell ref="R21:S22"/>
    <mergeCell ref="T21:U22"/>
    <mergeCell ref="V21:W22"/>
    <mergeCell ref="C12:X12"/>
    <mergeCell ref="C13:X13"/>
    <mergeCell ref="C14:X14"/>
    <mergeCell ref="C15:X15"/>
    <mergeCell ref="C16:X16"/>
    <mergeCell ref="B20:C22"/>
    <mergeCell ref="D20:W20"/>
    <mergeCell ref="D21:E22"/>
    <mergeCell ref="F21:G22"/>
    <mergeCell ref="H21:I22"/>
    <mergeCell ref="J21:K22"/>
    <mergeCell ref="L21:M22"/>
    <mergeCell ref="N21:O22"/>
    <mergeCell ref="P21:Q22"/>
    <mergeCell ref="L23:M24"/>
    <mergeCell ref="N23:O24"/>
    <mergeCell ref="P23:Q24"/>
    <mergeCell ref="R23:S24"/>
    <mergeCell ref="T23:U24"/>
    <mergeCell ref="V23:W24"/>
    <mergeCell ref="B23:C24"/>
    <mergeCell ref="D23:E24"/>
    <mergeCell ref="F23:G24"/>
    <mergeCell ref="H23:I24"/>
    <mergeCell ref="J23:K24"/>
    <mergeCell ref="B27:C28"/>
    <mergeCell ref="D27:E28"/>
    <mergeCell ref="F27:G28"/>
    <mergeCell ref="H27:I28"/>
    <mergeCell ref="J27:K28"/>
    <mergeCell ref="B25:C26"/>
    <mergeCell ref="D25:E26"/>
    <mergeCell ref="F25:G26"/>
    <mergeCell ref="H25:I26"/>
    <mergeCell ref="J25:K26"/>
    <mergeCell ref="L27:M28"/>
    <mergeCell ref="N27:O28"/>
    <mergeCell ref="P27:Q28"/>
    <mergeCell ref="R27:S28"/>
    <mergeCell ref="T27:U28"/>
    <mergeCell ref="V27:W28"/>
    <mergeCell ref="N25:O26"/>
    <mergeCell ref="P25:Q26"/>
    <mergeCell ref="R25:S26"/>
    <mergeCell ref="T25:U26"/>
    <mergeCell ref="V25:W26"/>
    <mergeCell ref="L25:M26"/>
    <mergeCell ref="B31:C32"/>
    <mergeCell ref="D31:E32"/>
    <mergeCell ref="F31:G32"/>
    <mergeCell ref="H31:I32"/>
    <mergeCell ref="J31:K32"/>
    <mergeCell ref="B29:C30"/>
    <mergeCell ref="D29:E30"/>
    <mergeCell ref="F29:G30"/>
    <mergeCell ref="H29:I30"/>
    <mergeCell ref="J29:K30"/>
    <mergeCell ref="L31:M32"/>
    <mergeCell ref="N31:O32"/>
    <mergeCell ref="P31:Q32"/>
    <mergeCell ref="R31:S32"/>
    <mergeCell ref="T31:U32"/>
    <mergeCell ref="V31:W32"/>
    <mergeCell ref="N29:O30"/>
    <mergeCell ref="P29:Q30"/>
    <mergeCell ref="R29:S30"/>
    <mergeCell ref="T29:U30"/>
    <mergeCell ref="V29:W30"/>
    <mergeCell ref="L29:M30"/>
    <mergeCell ref="B35:C36"/>
    <mergeCell ref="D35:E36"/>
    <mergeCell ref="F35:G36"/>
    <mergeCell ref="H35:I36"/>
    <mergeCell ref="J35:K36"/>
    <mergeCell ref="B33:C34"/>
    <mergeCell ref="D33:E34"/>
    <mergeCell ref="F33:G34"/>
    <mergeCell ref="H33:I34"/>
    <mergeCell ref="J33:K34"/>
    <mergeCell ref="L35:M36"/>
    <mergeCell ref="N35:O36"/>
    <mergeCell ref="P35:Q36"/>
    <mergeCell ref="R35:S36"/>
    <mergeCell ref="T35:U36"/>
    <mergeCell ref="V35:W36"/>
    <mergeCell ref="N33:O34"/>
    <mergeCell ref="P33:Q34"/>
    <mergeCell ref="R33:S34"/>
    <mergeCell ref="T33:U34"/>
    <mergeCell ref="V33:W34"/>
    <mergeCell ref="L33:M34"/>
    <mergeCell ref="A78:X87"/>
    <mergeCell ref="L37:M38"/>
    <mergeCell ref="N37:O38"/>
    <mergeCell ref="P37:Q38"/>
    <mergeCell ref="R37:S38"/>
    <mergeCell ref="T37:U38"/>
    <mergeCell ref="V37:W38"/>
    <mergeCell ref="N39:O40"/>
    <mergeCell ref="P39:Q40"/>
    <mergeCell ref="R39:S40"/>
    <mergeCell ref="T39:U40"/>
    <mergeCell ref="V39:W40"/>
    <mergeCell ref="B37:C38"/>
    <mergeCell ref="D37:E38"/>
    <mergeCell ref="F37:G38"/>
    <mergeCell ref="H37:I38"/>
    <mergeCell ref="J37:K38"/>
    <mergeCell ref="B39:C40"/>
    <mergeCell ref="D39:E40"/>
    <mergeCell ref="F39:G40"/>
    <mergeCell ref="H39:I40"/>
    <mergeCell ref="J39:K40"/>
    <mergeCell ref="L39:M40"/>
    <mergeCell ref="A42:X42"/>
  </mergeCells>
  <conditionalFormatting sqref="A11:B11">
    <cfRule type="cellIs" dxfId="2" priority="3" operator="notEqual">
      <formula>21</formula>
    </cfRule>
  </conditionalFormatting>
  <conditionalFormatting sqref="A12:B12">
    <cfRule type="cellIs" dxfId="1" priority="2" operator="notEqual">
      <formula>10</formula>
    </cfRule>
  </conditionalFormatting>
  <conditionalFormatting sqref="A13:B13">
    <cfRule type="cellIs" dxfId="0" priority="1" operator="notEqual">
      <formula>70</formula>
    </cfRule>
  </conditionalFormatting>
  <printOptions horizontalCentered="1"/>
  <pageMargins left="0.5" right="0.5" top="0.5" bottom="0.5" header="0.3" footer="0.3"/>
  <pageSetup scale="90" orientation="portrait" r:id="rId1"/>
  <rowBreaks count="1" manualBreakCount="1">
    <brk id="41"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F97"/>
  <sheetViews>
    <sheetView workbookViewId="0">
      <pane ySplit="1" topLeftCell="A2" activePane="bottomLeft" state="frozen"/>
      <selection pane="bottomLeft" activeCell="H29" sqref="H29"/>
    </sheetView>
  </sheetViews>
  <sheetFormatPr defaultRowHeight="12.75" x14ac:dyDescent="0.2"/>
  <cols>
    <col min="1" max="1" width="45.85546875" style="5" bestFit="1" customWidth="1"/>
    <col min="2" max="2" width="14.140625" style="4" customWidth="1"/>
    <col min="3" max="3" width="12.5703125" style="4" bestFit="1" customWidth="1"/>
    <col min="4" max="4" width="12" style="4" bestFit="1" customWidth="1"/>
    <col min="5" max="5" width="12.5703125" style="4" bestFit="1" customWidth="1"/>
    <col min="6" max="6" width="12" style="5" bestFit="1" customWidth="1"/>
    <col min="7" max="16384" width="9.140625" style="5"/>
  </cols>
  <sheetData>
    <row r="1" spans="1:4" ht="25.5" x14ac:dyDescent="0.35">
      <c r="A1" s="3" t="s">
        <v>16</v>
      </c>
    </row>
    <row r="4" spans="1:4" x14ac:dyDescent="0.2">
      <c r="A4" s="5" t="s">
        <v>13</v>
      </c>
    </row>
    <row r="5" spans="1:4" x14ac:dyDescent="0.2">
      <c r="A5" s="6">
        <f>TimingWorksheet!$I$11-TimingWorksheet!$A$27</f>
        <v>-10</v>
      </c>
      <c r="B5" s="7" t="s">
        <v>24</v>
      </c>
    </row>
    <row r="6" spans="1:4" x14ac:dyDescent="0.2">
      <c r="A6" s="8">
        <f>TimingWorksheet!A13+TimingWorksheet!A25</f>
        <v>70</v>
      </c>
      <c r="B6" s="4" t="s">
        <v>14</v>
      </c>
    </row>
    <row r="7" spans="1:4" x14ac:dyDescent="0.2">
      <c r="A7" s="8">
        <f>TimingWorksheet!A13+TimingWorksheet!A24</f>
        <v>125</v>
      </c>
      <c r="B7" s="9" t="s">
        <v>19</v>
      </c>
    </row>
    <row r="8" spans="1:4" x14ac:dyDescent="0.2">
      <c r="A8" s="6">
        <f>TimingWorksheet!A13+TimingWorksheet!A15</f>
        <v>0</v>
      </c>
      <c r="B8" s="4" t="s">
        <v>17</v>
      </c>
    </row>
    <row r="9" spans="1:4" x14ac:dyDescent="0.2">
      <c r="A9" s="23">
        <f>COUNTIF(B10:B25,"Err")</f>
        <v>6</v>
      </c>
      <c r="B9" s="10" t="s">
        <v>26</v>
      </c>
      <c r="C9" s="11"/>
    </row>
    <row r="10" spans="1:4" x14ac:dyDescent="0.2">
      <c r="A10" s="10" t="str">
        <f>IF(B10="Err",C10,"")</f>
        <v/>
      </c>
      <c r="B10" s="22" t="str">
        <f>IF(B31&gt;1600,"Err","OK")</f>
        <v>OK</v>
      </c>
      <c r="C10" s="10" t="s">
        <v>100</v>
      </c>
      <c r="D10" s="12"/>
    </row>
    <row r="11" spans="1:4" x14ac:dyDescent="0.2">
      <c r="A11" s="10" t="str">
        <f t="shared" ref="A11:A25" si="0">IF(B11="Err",C11,"")</f>
        <v/>
      </c>
      <c r="B11" s="22" t="str">
        <f>IF(B31&lt;=B35,"Err","OK")</f>
        <v>OK</v>
      </c>
      <c r="C11" s="10" t="s">
        <v>27</v>
      </c>
      <c r="D11" s="12"/>
    </row>
    <row r="12" spans="1:4" x14ac:dyDescent="0.2">
      <c r="A12" s="10" t="str">
        <f t="shared" si="0"/>
        <v/>
      </c>
      <c r="B12" s="21" t="s">
        <v>92</v>
      </c>
      <c r="C12" s="26" t="s">
        <v>93</v>
      </c>
      <c r="D12" s="12"/>
    </row>
    <row r="13" spans="1:4" x14ac:dyDescent="0.2">
      <c r="A13" s="10" t="str">
        <f t="shared" si="0"/>
        <v/>
      </c>
      <c r="B13" s="21" t="s">
        <v>92</v>
      </c>
      <c r="C13" s="26" t="s">
        <v>121</v>
      </c>
      <c r="D13" s="12"/>
    </row>
    <row r="14" spans="1:4" x14ac:dyDescent="0.2">
      <c r="A14" s="10" t="str">
        <f t="shared" si="0"/>
        <v/>
      </c>
      <c r="B14" s="21" t="str">
        <f>IF(TimingWorksheet!$A$19&gt;(TimingWorksheet!$A$20-0.1),"Err","OK")</f>
        <v>OK</v>
      </c>
      <c r="C14" s="10" t="s">
        <v>51</v>
      </c>
      <c r="D14" s="12"/>
    </row>
    <row r="15" spans="1:4" x14ac:dyDescent="0.2">
      <c r="A15" s="10" t="str">
        <f t="shared" si="0"/>
        <v xml:space="preserve">-AWS must be located in advance of stop bar.  </v>
      </c>
      <c r="B15" s="21" t="str">
        <f>IF(B90&lt;=0,"Err","OK")</f>
        <v>Err</v>
      </c>
      <c r="C15" s="10" t="s">
        <v>28</v>
      </c>
      <c r="D15" s="12"/>
    </row>
    <row r="16" spans="1:4" x14ac:dyDescent="0.2">
      <c r="A16" s="10" t="str">
        <f t="shared" si="0"/>
        <v/>
      </c>
      <c r="B16" s="21" t="str">
        <f>IF(B35&lt;=B90,"Err","OK")</f>
        <v>OK</v>
      </c>
      <c r="C16" s="10" t="s">
        <v>29</v>
      </c>
      <c r="D16" s="12"/>
    </row>
    <row r="17" spans="1:6" x14ac:dyDescent="0.2">
      <c r="A17" s="10" t="str">
        <f t="shared" si="0"/>
        <v/>
      </c>
      <c r="B17" s="21" t="str">
        <f>IF(B92&lt;B35,"Err","OK")</f>
        <v>OK</v>
      </c>
      <c r="C17" s="10" t="s">
        <v>30</v>
      </c>
      <c r="D17" s="12"/>
    </row>
    <row r="18" spans="1:6" x14ac:dyDescent="0.2">
      <c r="A18" s="10" t="str">
        <f t="shared" si="0"/>
        <v xml:space="preserve">-User must enter a value for phase passage time.  </v>
      </c>
      <c r="B18" s="20" t="str">
        <f>IF(TimingWorksheet!A16="","Err","OK")</f>
        <v>Err</v>
      </c>
      <c r="C18" s="94" t="s">
        <v>122</v>
      </c>
      <c r="D18" s="12"/>
    </row>
    <row r="19" spans="1:6" x14ac:dyDescent="0.2">
      <c r="A19" s="10" t="str">
        <f t="shared" si="0"/>
        <v xml:space="preserve">-Lead flash time must be greater than 0.  </v>
      </c>
      <c r="B19" s="21" t="str">
        <f>IF(TimingWorksheet!A14&lt;=0,"Err","OK")</f>
        <v>Err</v>
      </c>
      <c r="C19" s="10" t="s">
        <v>70</v>
      </c>
      <c r="D19" s="12"/>
    </row>
    <row r="20" spans="1:6" x14ac:dyDescent="0.2">
      <c r="A20" s="10" t="str">
        <f t="shared" si="0"/>
        <v xml:space="preserve">-85th-%ile speed must be at least 30mph.  </v>
      </c>
      <c r="B20" s="21" t="str">
        <f>IF(TimingWorksheet!$I$11&lt;30,"Err","OK")</f>
        <v>Err</v>
      </c>
      <c r="C20" s="10" t="s">
        <v>31</v>
      </c>
      <c r="D20" s="12"/>
    </row>
    <row r="21" spans="1:6" x14ac:dyDescent="0.2">
      <c r="A21" s="10" t="str">
        <f t="shared" si="0"/>
        <v/>
      </c>
      <c r="B21" s="21" t="str">
        <f>IF(TimingWorksheet!$I$11&gt;100,"Err","OK")</f>
        <v>OK</v>
      </c>
      <c r="C21" s="10" t="s">
        <v>32</v>
      </c>
      <c r="D21" s="12"/>
    </row>
    <row r="22" spans="1:6" x14ac:dyDescent="0.2">
      <c r="A22" s="10" t="str">
        <f t="shared" si="0"/>
        <v xml:space="preserve">-Calculated AWS design speed must be at least minimum speed of radar capability (assumed 3mph).  </v>
      </c>
      <c r="B22" s="21" t="str">
        <f>IF(A5&lt;3,"Err","OK")</f>
        <v>Err</v>
      </c>
      <c r="C22" s="10" t="s">
        <v>33</v>
      </c>
      <c r="D22" s="12"/>
    </row>
    <row r="23" spans="1:6" x14ac:dyDescent="0.2">
      <c r="A23" s="10" t="str">
        <f t="shared" si="0"/>
        <v>-Not enough radar coverage to track vehicles through entire dilemma zone at any speed</v>
      </c>
      <c r="B23" s="21" t="str">
        <f>IF(TimingWorksheet!G37&gt;TimingWorksheet!F37,"OK","Err")</f>
        <v>Err</v>
      </c>
      <c r="C23" s="10" t="s">
        <v>99</v>
      </c>
      <c r="D23" s="12"/>
    </row>
    <row r="24" spans="1:6" x14ac:dyDescent="0.2">
      <c r="A24" s="10" t="str">
        <f t="shared" si="0"/>
        <v/>
      </c>
      <c r="B24" s="21" t="str">
        <f>IF(TimingWorksheet!A16&lt;(TimingWorksheet!A20-TimingWorksheet!A19),"OK","Err")</f>
        <v>OK</v>
      </c>
      <c r="C24" s="10" t="s">
        <v>114</v>
      </c>
      <c r="D24" s="12"/>
    </row>
    <row r="25" spans="1:6" x14ac:dyDescent="0.2">
      <c r="A25" s="10" t="str">
        <f t="shared" si="0"/>
        <v/>
      </c>
      <c r="B25" s="21" t="str">
        <f>IF(A5&gt;100,"Err","OK")</f>
        <v>OK</v>
      </c>
      <c r="C25" s="10" t="s">
        <v>34</v>
      </c>
      <c r="D25" s="12"/>
    </row>
    <row r="27" spans="1:6" x14ac:dyDescent="0.2">
      <c r="A27" s="13" t="s">
        <v>15</v>
      </c>
      <c r="B27" s="14"/>
      <c r="C27" s="14"/>
      <c r="D27" s="14" t="s">
        <v>7</v>
      </c>
      <c r="E27" s="14" t="s">
        <v>8</v>
      </c>
      <c r="F27" s="15"/>
    </row>
    <row r="28" spans="1:6" x14ac:dyDescent="0.2">
      <c r="A28" s="16" t="str">
        <f>IF(DiagramCalcs!$A$9&gt;0,"",CONCATENATE("85th-%ile Speed (",TimingWorksheet!I11,"mph)"))</f>
        <v/>
      </c>
      <c r="B28" s="17">
        <v>0</v>
      </c>
      <c r="C28" s="17">
        <f>TimingWorksheet!I11</f>
        <v>0</v>
      </c>
      <c r="D28" s="17">
        <f>IF(DiagramCalcs!$A$9&gt;0,-1,DiagramCalcs!B28)</f>
        <v>-1</v>
      </c>
      <c r="E28" s="17">
        <f>IF(DiagramCalcs!$A$9&gt;0,-1,DiagramCalcs!C28)</f>
        <v>-1</v>
      </c>
      <c r="F28" s="1" t="s">
        <v>49</v>
      </c>
    </row>
    <row r="29" spans="1:6" x14ac:dyDescent="0.2">
      <c r="A29" s="16"/>
      <c r="B29" s="17">
        <v>1600</v>
      </c>
      <c r="C29" s="17">
        <f>TimingWorksheet!I11</f>
        <v>0</v>
      </c>
      <c r="D29" s="17">
        <f>IF(DiagramCalcs!$A$9&gt;0,-1,DiagramCalcs!B29)</f>
        <v>-1</v>
      </c>
      <c r="E29" s="17">
        <f>IF(DiagramCalcs!$A$9&gt;0,-1,DiagramCalcs!C29)</f>
        <v>-1</v>
      </c>
    </row>
    <row r="30" spans="1:6" x14ac:dyDescent="0.2">
      <c r="A30" s="16" t="str">
        <f>IF(DiagramCalcs!$A$9&gt;0,"","Radar Coverage")</f>
        <v/>
      </c>
      <c r="B30" s="17">
        <f>DiagramCalcs!A8+50</f>
        <v>50</v>
      </c>
      <c r="C30" s="17">
        <v>100</v>
      </c>
      <c r="D30" s="17">
        <f>IF(DiagramCalcs!$A$9&gt;0,-1,DiagramCalcs!B30)</f>
        <v>-1</v>
      </c>
      <c r="E30" s="17">
        <f>IF(DiagramCalcs!$A$9&gt;0,-1,DiagramCalcs!C30)</f>
        <v>-1</v>
      </c>
      <c r="F30" s="1" t="s">
        <v>35</v>
      </c>
    </row>
    <row r="31" spans="1:6" x14ac:dyDescent="0.2">
      <c r="A31" s="16"/>
      <c r="B31" s="17">
        <f>$A$8+TimingWorksheet!$A$18</f>
        <v>600</v>
      </c>
      <c r="C31" s="17">
        <v>100</v>
      </c>
      <c r="D31" s="17">
        <f>IF(DiagramCalcs!$A$9&gt;0,-1,DiagramCalcs!B31)</f>
        <v>-1</v>
      </c>
      <c r="E31" s="17">
        <f>IF(DiagramCalcs!$A$9&gt;0,-1,DiagramCalcs!C31)</f>
        <v>-1</v>
      </c>
    </row>
    <row r="32" spans="1:6" x14ac:dyDescent="0.2">
      <c r="A32" s="16"/>
      <c r="B32" s="17">
        <f>B31</f>
        <v>600</v>
      </c>
      <c r="C32" s="17">
        <v>3</v>
      </c>
      <c r="D32" s="17">
        <f>IF(DiagramCalcs!$A$9&gt;0,-1,DiagramCalcs!B32)</f>
        <v>-1</v>
      </c>
      <c r="E32" s="17">
        <f>IF(DiagramCalcs!$A$9&gt;0,-1,DiagramCalcs!C32)</f>
        <v>-1</v>
      </c>
    </row>
    <row r="33" spans="1:6" x14ac:dyDescent="0.2">
      <c r="A33" s="16"/>
      <c r="B33" s="17">
        <f>B30</f>
        <v>50</v>
      </c>
      <c r="C33" s="17">
        <v>3</v>
      </c>
      <c r="D33" s="17">
        <f>IF(DiagramCalcs!$A$9&gt;0,-1,DiagramCalcs!B33)</f>
        <v>-1</v>
      </c>
      <c r="E33" s="17">
        <f>IF(DiagramCalcs!$A$9&gt;0,-1,DiagramCalcs!C33)</f>
        <v>-1</v>
      </c>
    </row>
    <row r="34" spans="1:6" x14ac:dyDescent="0.2">
      <c r="A34" s="16"/>
      <c r="B34" s="17">
        <f>DiagramCalcs!A8+50</f>
        <v>50</v>
      </c>
      <c r="C34" s="17">
        <v>100</v>
      </c>
      <c r="D34" s="17">
        <f>IF(DiagramCalcs!$A$9&gt;0,-1,DiagramCalcs!B34)</f>
        <v>-1</v>
      </c>
      <c r="E34" s="17">
        <f>IF(DiagramCalcs!$A$9&gt;0,-1,DiagramCalcs!C34)</f>
        <v>-1</v>
      </c>
    </row>
    <row r="35" spans="1:6" x14ac:dyDescent="0.2">
      <c r="A35" s="16" t="str">
        <f>IF(DiagramCalcs!$A$9&gt;0,"","↓ AWS Perceivable ↓")</f>
        <v/>
      </c>
      <c r="B35" s="17">
        <f>A6</f>
        <v>70</v>
      </c>
      <c r="C35" s="17">
        <v>100</v>
      </c>
      <c r="D35" s="17">
        <f>IF(DiagramCalcs!$A$9&gt;0,-1,DiagramCalcs!B35)</f>
        <v>-1</v>
      </c>
      <c r="E35" s="17">
        <f>IF(DiagramCalcs!$A$9&gt;0,-1,DiagramCalcs!C35)</f>
        <v>-1</v>
      </c>
      <c r="F35" s="1" t="s">
        <v>38</v>
      </c>
    </row>
    <row r="36" spans="1:6" x14ac:dyDescent="0.2">
      <c r="A36" s="16"/>
      <c r="B36" s="17">
        <f>A6</f>
        <v>70</v>
      </c>
      <c r="C36" s="17">
        <v>0</v>
      </c>
      <c r="D36" s="17">
        <f>IF(DiagramCalcs!$A$9&gt;0,-1,DiagramCalcs!B36)</f>
        <v>-1</v>
      </c>
      <c r="E36" s="17">
        <f>IF(DiagramCalcs!$A$9&gt;0,-1,DiagramCalcs!C36)</f>
        <v>-1</v>
      </c>
      <c r="F36" s="21"/>
    </row>
    <row r="37" spans="1:6" x14ac:dyDescent="0.2">
      <c r="A37" s="24" t="s">
        <v>91</v>
      </c>
      <c r="B37" s="25"/>
      <c r="C37" s="25"/>
      <c r="D37" s="25"/>
      <c r="E37" s="25"/>
      <c r="F37" s="20"/>
    </row>
    <row r="38" spans="1:6" x14ac:dyDescent="0.2">
      <c r="A38" s="24"/>
      <c r="B38" s="128"/>
      <c r="C38" s="25"/>
      <c r="D38" s="25"/>
      <c r="E38" s="25"/>
      <c r="F38" s="21"/>
    </row>
    <row r="39" spans="1:6" x14ac:dyDescent="0.2">
      <c r="A39" s="24"/>
      <c r="B39" s="25"/>
      <c r="C39" s="25"/>
      <c r="D39" s="25"/>
      <c r="E39" s="25"/>
      <c r="F39" s="21"/>
    </row>
    <row r="40" spans="1:6" x14ac:dyDescent="0.2">
      <c r="A40" s="24"/>
      <c r="B40" s="25"/>
      <c r="C40" s="25"/>
      <c r="D40" s="25"/>
      <c r="E40" s="25"/>
      <c r="F40" s="21"/>
    </row>
    <row r="41" spans="1:6" x14ac:dyDescent="0.2">
      <c r="A41" s="24"/>
      <c r="B41" s="25"/>
      <c r="C41" s="25"/>
      <c r="D41" s="25"/>
      <c r="E41" s="25"/>
      <c r="F41" s="21"/>
    </row>
    <row r="42" spans="1:6" x14ac:dyDescent="0.2">
      <c r="A42" s="16" t="str">
        <f>IF(DiagramCalcs!$A$9&gt;0,"",IF(TimingWorksheet!K17="Legacy","Ch. 1","Lvl. 2"))</f>
        <v/>
      </c>
      <c r="B42" s="17">
        <f>TimingWorksheet!D37</f>
        <v>50</v>
      </c>
      <c r="C42" s="18">
        <f>TimingWorksheet!$F$37</f>
        <v>341</v>
      </c>
      <c r="D42" s="17">
        <f>IF(DiagramCalcs!$A$9&gt;0,-1,DiagramCalcs!B42)</f>
        <v>-1</v>
      </c>
      <c r="E42" s="18">
        <f>IF(DiagramCalcs!$A$9&gt;0,-1,DiagramCalcs!C42)</f>
        <v>-1</v>
      </c>
      <c r="F42" s="1" t="s">
        <v>37</v>
      </c>
    </row>
    <row r="43" spans="1:6" x14ac:dyDescent="0.2">
      <c r="A43" s="16"/>
      <c r="B43" s="17">
        <f>TimingWorksheet!I37*(5280/3600)*TimingWorksheet!F37</f>
        <v>1450.3866666666668</v>
      </c>
      <c r="C43" s="18">
        <f>TimingWorksheet!$F$37</f>
        <v>341</v>
      </c>
      <c r="D43" s="17">
        <f>IF(DiagramCalcs!$A$9&gt;0,-1,DiagramCalcs!B43)</f>
        <v>-1</v>
      </c>
      <c r="E43" s="18">
        <f>IF(DiagramCalcs!$A$9&gt;0,-1,DiagramCalcs!C43)</f>
        <v>-1</v>
      </c>
    </row>
    <row r="44" spans="1:6" x14ac:dyDescent="0.2">
      <c r="A44" s="16"/>
      <c r="B44" s="17">
        <f>TimingWorksheet!E37</f>
        <v>600</v>
      </c>
      <c r="C44" s="17">
        <f>TimingWorksheet!G37</f>
        <v>100</v>
      </c>
      <c r="D44" s="17">
        <f>IF(DiagramCalcs!$A$9&gt;0,-1,DiagramCalcs!B44)</f>
        <v>-1</v>
      </c>
      <c r="E44" s="17">
        <f>IF(DiagramCalcs!$A$9&gt;0,-1,DiagramCalcs!C44)</f>
        <v>-1</v>
      </c>
    </row>
    <row r="45" spans="1:6" x14ac:dyDescent="0.2">
      <c r="A45" s="16"/>
      <c r="B45" s="17">
        <f>TimingWorksheet!$G$37*5280/3600*TimingWorksheet!$H$37</f>
        <v>14.666666666666666</v>
      </c>
      <c r="C45" s="17">
        <f>TimingWorksheet!G37</f>
        <v>100</v>
      </c>
      <c r="D45" s="17">
        <f>IF(DiagramCalcs!$A$9&gt;0,-1,DiagramCalcs!B45)</f>
        <v>-1</v>
      </c>
      <c r="E45" s="17">
        <f>IF(DiagramCalcs!$A$9&gt;0,-1,DiagramCalcs!C45)</f>
        <v>-1</v>
      </c>
    </row>
    <row r="46" spans="1:6" x14ac:dyDescent="0.2">
      <c r="A46" s="16"/>
      <c r="B46" s="18">
        <f>TimingWorksheet!$D$37</f>
        <v>50</v>
      </c>
      <c r="C46" s="18">
        <f>TimingWorksheet!$F$37</f>
        <v>341</v>
      </c>
      <c r="D46" s="17">
        <f>IF(DiagramCalcs!$A$9&gt;0,-1,DiagramCalcs!B46)</f>
        <v>-1</v>
      </c>
      <c r="E46" s="17">
        <f>IF(DiagramCalcs!$A$9&gt;0,-1,DiagramCalcs!C46)</f>
        <v>-1</v>
      </c>
    </row>
    <row r="47" spans="1:6" x14ac:dyDescent="0.2">
      <c r="A47" s="24" t="s">
        <v>91</v>
      </c>
      <c r="B47" s="25"/>
      <c r="C47" s="25"/>
      <c r="D47" s="25"/>
      <c r="E47" s="25"/>
      <c r="F47" s="20"/>
    </row>
    <row r="48" spans="1:6" x14ac:dyDescent="0.2">
      <c r="A48" s="24"/>
      <c r="B48" s="25"/>
      <c r="C48" s="25"/>
      <c r="D48" s="25"/>
      <c r="E48" s="25"/>
      <c r="F48" s="21"/>
    </row>
    <row r="49" spans="1:6" x14ac:dyDescent="0.2">
      <c r="A49" s="24"/>
      <c r="B49" s="25"/>
      <c r="C49" s="25"/>
      <c r="D49" s="25"/>
      <c r="E49" s="25"/>
      <c r="F49" s="21"/>
    </row>
    <row r="50" spans="1:6" x14ac:dyDescent="0.2">
      <c r="A50" s="24"/>
      <c r="B50" s="25"/>
      <c r="C50" s="25"/>
      <c r="D50" s="25"/>
      <c r="E50" s="25"/>
      <c r="F50" s="21"/>
    </row>
    <row r="51" spans="1:6" x14ac:dyDescent="0.2">
      <c r="A51" s="24"/>
      <c r="B51" s="25"/>
      <c r="C51" s="25"/>
      <c r="D51" s="25"/>
      <c r="E51" s="25"/>
      <c r="F51" s="21"/>
    </row>
    <row r="52" spans="1:6" x14ac:dyDescent="0.2">
      <c r="A52" s="16" t="str">
        <f>IF(OR(DiagramCalcs!$A$9&gt;0,TimingWorksheet!$A$39&lt;&gt;""),"","Vehicle Location at Yellow Onset")</f>
        <v/>
      </c>
      <c r="B52" s="17">
        <f>B42-(TimingWorksheet!$A$14*(5280/3600)*$C52)</f>
        <v>50</v>
      </c>
      <c r="C52" s="17">
        <f>C42</f>
        <v>341</v>
      </c>
      <c r="D52" s="17">
        <f>IF(OR(DiagramCalcs!$A$9&gt;0,TimingWorksheet!$A$39&lt;&gt;""),-1,DiagramCalcs!B52)</f>
        <v>-1</v>
      </c>
      <c r="E52" s="17">
        <f>IF(OR(DiagramCalcs!$A$9&gt;0,TimingWorksheet!$A$39&lt;&gt;""),-1,DiagramCalcs!C52)</f>
        <v>-1</v>
      </c>
      <c r="F52" s="1" t="s">
        <v>132</v>
      </c>
    </row>
    <row r="53" spans="1:6" x14ac:dyDescent="0.2">
      <c r="A53" s="16"/>
      <c r="B53" s="17">
        <f>B43-(TimingWorksheet!$A$14*(5280/3600)*$C53)</f>
        <v>1450.3866666666668</v>
      </c>
      <c r="C53" s="17">
        <f>C43</f>
        <v>341</v>
      </c>
      <c r="D53" s="17">
        <f>IF(OR(DiagramCalcs!$A$9&gt;0,TimingWorksheet!$A$39&lt;&gt;""),-1,DiagramCalcs!B53)</f>
        <v>-1</v>
      </c>
      <c r="E53" s="17">
        <f>IF(OR(DiagramCalcs!$A$9&gt;0,TimingWorksheet!$A$39&lt;&gt;""),-1,DiagramCalcs!C53)</f>
        <v>-1</v>
      </c>
    </row>
    <row r="54" spans="1:6" x14ac:dyDescent="0.2">
      <c r="A54" s="16"/>
      <c r="B54" s="17">
        <f>B44-(TimingWorksheet!$A$14*(5280/3600)*$C54)</f>
        <v>600</v>
      </c>
      <c r="C54" s="17">
        <f>C44</f>
        <v>100</v>
      </c>
      <c r="D54" s="17">
        <f>IF(OR(DiagramCalcs!$A$9&gt;0,TimingWorksheet!$A$39&lt;&gt;""),-1,DiagramCalcs!B54)</f>
        <v>-1</v>
      </c>
      <c r="E54" s="17">
        <f>IF(OR(DiagramCalcs!$A$9&gt;0,TimingWorksheet!$A$39&lt;&gt;""),-1,DiagramCalcs!C54)</f>
        <v>-1</v>
      </c>
    </row>
    <row r="55" spans="1:6" x14ac:dyDescent="0.2">
      <c r="A55" s="16"/>
      <c r="B55" s="17">
        <f>B45-(TimingWorksheet!$A$14*(5280/3600)*$C55)</f>
        <v>14.666666666666666</v>
      </c>
      <c r="C55" s="17">
        <f>C45</f>
        <v>100</v>
      </c>
      <c r="D55" s="17">
        <f>IF(OR(DiagramCalcs!$A$9&gt;0,TimingWorksheet!$A$39&lt;&gt;""),-1,DiagramCalcs!B55)</f>
        <v>-1</v>
      </c>
      <c r="E55" s="17">
        <f>IF(OR(DiagramCalcs!$A$9&gt;0,TimingWorksheet!$A$39&lt;&gt;""),-1,DiagramCalcs!C55)</f>
        <v>-1</v>
      </c>
    </row>
    <row r="56" spans="1:6" x14ac:dyDescent="0.2">
      <c r="A56" s="16"/>
      <c r="B56" s="17">
        <f>B46-(TimingWorksheet!$A$14*(5280/3600)*$C56)</f>
        <v>50</v>
      </c>
      <c r="C56" s="17">
        <f>C46</f>
        <v>341</v>
      </c>
      <c r="D56" s="17">
        <f>IF(OR(DiagramCalcs!$A$9&gt;0,TimingWorksheet!$A$39&lt;&gt;""),-1,DiagramCalcs!B56)</f>
        <v>-1</v>
      </c>
      <c r="E56" s="17">
        <f>IF(OR(DiagramCalcs!$A$9&gt;0,TimingWorksheet!$A$39&lt;&gt;""),-1,DiagramCalcs!C56)</f>
        <v>-1</v>
      </c>
    </row>
    <row r="57" spans="1:6" x14ac:dyDescent="0.2">
      <c r="A57" s="19" t="str">
        <f>IF(DiagramCalcs!$A$9&gt;0,"","Decision Dilemma Zone"&amp;IF(TimingWorksheet!K17="Extended Range"," (for cars)",""))</f>
        <v/>
      </c>
      <c r="B57" s="18">
        <v>0</v>
      </c>
      <c r="C57" s="18">
        <v>0</v>
      </c>
      <c r="D57" s="18">
        <f>IF(DiagramCalcs!$A$9&gt;0,-1,DiagramCalcs!B57)</f>
        <v>-1</v>
      </c>
      <c r="E57" s="18">
        <f>IF(DiagramCalcs!$A$9&gt;0,-1,DiagramCalcs!C57)</f>
        <v>-1</v>
      </c>
      <c r="F57" s="20" t="s">
        <v>39</v>
      </c>
    </row>
    <row r="58" spans="1:6" x14ac:dyDescent="0.2">
      <c r="A58" s="19"/>
      <c r="B58" s="18">
        <f>C58*(TimingWorksheet!$A$20+TimingWorksheet!$A$14)*(5280/3600)</f>
        <v>425.33333333333337</v>
      </c>
      <c r="C58" s="18">
        <v>100</v>
      </c>
      <c r="D58" s="18">
        <f>IF(DiagramCalcs!$A$9&gt;0,-1,DiagramCalcs!B58)</f>
        <v>-1</v>
      </c>
      <c r="E58" s="18">
        <f>IF(DiagramCalcs!$A$9&gt;0,-1,DiagramCalcs!C58)</f>
        <v>-1</v>
      </c>
      <c r="F58" s="21"/>
    </row>
    <row r="59" spans="1:6" x14ac:dyDescent="0.2">
      <c r="A59" s="19"/>
      <c r="B59" s="18">
        <f>C59*(TimingWorksheet!$A$19+TimingWorksheet!$A$14)*(5280/3600)</f>
        <v>14.666666666666666</v>
      </c>
      <c r="C59" s="18">
        <v>100</v>
      </c>
      <c r="D59" s="18">
        <f>IF(DiagramCalcs!$A$9&gt;0,-1,DiagramCalcs!B59)</f>
        <v>-1</v>
      </c>
      <c r="E59" s="18">
        <f>IF(DiagramCalcs!$A$9&gt;0,-1,DiagramCalcs!C59)</f>
        <v>-1</v>
      </c>
      <c r="F59" s="21"/>
    </row>
    <row r="60" spans="1:6" x14ac:dyDescent="0.2">
      <c r="A60" s="19"/>
      <c r="B60" s="18">
        <f>B57</f>
        <v>0</v>
      </c>
      <c r="C60" s="18">
        <f>C57</f>
        <v>0</v>
      </c>
      <c r="D60" s="18">
        <f>IF(DiagramCalcs!$A$9&gt;0,-1,DiagramCalcs!B60)</f>
        <v>-1</v>
      </c>
      <c r="E60" s="18">
        <f>IF(DiagramCalcs!$A$9&gt;0,-1,DiagramCalcs!C60)</f>
        <v>-1</v>
      </c>
      <c r="F60" s="21"/>
    </row>
    <row r="61" spans="1:6" x14ac:dyDescent="0.2">
      <c r="A61" s="19" t="str">
        <f>IF(OR(DiagramCalcs!$A$9&gt;0,TimingWorksheet!$A$39&lt;&gt;""),"","Decision Dilemma Zone - Onset of Yellow")</f>
        <v/>
      </c>
      <c r="B61" s="18">
        <f>B57-(TimingWorksheet!$A$14*(5280/3600)*C61)</f>
        <v>0</v>
      </c>
      <c r="C61" s="18">
        <f>C57</f>
        <v>0</v>
      </c>
      <c r="D61" s="17">
        <f>IF(OR(DiagramCalcs!$A$9&gt;0,TimingWorksheet!$A$39&lt;&gt;""),-1,DiagramCalcs!B61)</f>
        <v>-1</v>
      </c>
      <c r="E61" s="17">
        <f>IF(OR(DiagramCalcs!$A$9&gt;0,TimingWorksheet!$A$39&lt;&gt;""),-1,DiagramCalcs!C61)</f>
        <v>-1</v>
      </c>
      <c r="F61" s="20" t="s">
        <v>40</v>
      </c>
    </row>
    <row r="62" spans="1:6" x14ac:dyDescent="0.2">
      <c r="A62" s="19"/>
      <c r="B62" s="18">
        <f>B58-(TimingWorksheet!$A$14*(5280/3600)*C62)</f>
        <v>425.33333333333337</v>
      </c>
      <c r="C62" s="18">
        <f>C58</f>
        <v>100</v>
      </c>
      <c r="D62" s="17">
        <f>IF(OR(DiagramCalcs!$A$9&gt;0,TimingWorksheet!$A$39&lt;&gt;""),-1,DiagramCalcs!B62)</f>
        <v>-1</v>
      </c>
      <c r="E62" s="17">
        <f>IF(OR(DiagramCalcs!$A$9&gt;0,TimingWorksheet!$A$39&lt;&gt;""),-1,DiagramCalcs!C62)</f>
        <v>-1</v>
      </c>
      <c r="F62" s="21"/>
    </row>
    <row r="63" spans="1:6" x14ac:dyDescent="0.2">
      <c r="A63" s="19"/>
      <c r="B63" s="18">
        <f>B59-(TimingWorksheet!$A$14*(5280/3600)*C63)</f>
        <v>14.666666666666666</v>
      </c>
      <c r="C63" s="18">
        <f>C59</f>
        <v>100</v>
      </c>
      <c r="D63" s="17">
        <f>IF(OR(DiagramCalcs!$A$9&gt;0,TimingWorksheet!$A$39&lt;&gt;""),-1,DiagramCalcs!B63)</f>
        <v>-1</v>
      </c>
      <c r="E63" s="17">
        <f>IF(OR(DiagramCalcs!$A$9&gt;0,TimingWorksheet!$A$39&lt;&gt;""),-1,DiagramCalcs!C63)</f>
        <v>-1</v>
      </c>
      <c r="F63" s="21"/>
    </row>
    <row r="64" spans="1:6" x14ac:dyDescent="0.2">
      <c r="A64" s="19"/>
      <c r="B64" s="18">
        <f>B60-(TimingWorksheet!$A$14*(5280/3600)*C64)</f>
        <v>0</v>
      </c>
      <c r="C64" s="18">
        <f>C60</f>
        <v>0</v>
      </c>
      <c r="D64" s="17">
        <f>IF(OR(DiagramCalcs!$A$9&gt;0,TimingWorksheet!$A$39&lt;&gt;""),-1,DiagramCalcs!B64)</f>
        <v>-1</v>
      </c>
      <c r="E64" s="17">
        <f>IF(OR(DiagramCalcs!$A$9&gt;0,TimingWorksheet!$A$39&lt;&gt;""),-1,DiagramCalcs!C64)</f>
        <v>-1</v>
      </c>
      <c r="F64" s="21"/>
    </row>
    <row r="65" spans="1:6" x14ac:dyDescent="0.2">
      <c r="A65" s="19" t="str">
        <f>IF(OR(DiagramCalcs!$A$9&gt;0,TimingWorksheet!$A$39&lt;&gt;""),"","Protection Zone (if no max-out)")</f>
        <v/>
      </c>
      <c r="B65" s="18">
        <f>B74-(TimingWorksheet!$A$14*(5280/3600)*C65)</f>
        <v>600</v>
      </c>
      <c r="C65" s="18">
        <f>C74</f>
        <v>100</v>
      </c>
      <c r="D65" s="17">
        <f>IF(OR(DiagramCalcs!$A$9&gt;0,TimingWorksheet!$A$39&lt;&gt;""),-1,DiagramCalcs!B65)</f>
        <v>-1</v>
      </c>
      <c r="E65" s="17">
        <f>IF(OR(DiagramCalcs!$A$9&gt;0,TimingWorksheet!$A$39&lt;&gt;""),-1,DiagramCalcs!C65)</f>
        <v>-1</v>
      </c>
      <c r="F65" s="21" t="s">
        <v>54</v>
      </c>
    </row>
    <row r="66" spans="1:6" x14ac:dyDescent="0.2">
      <c r="A66" s="19"/>
      <c r="B66" s="18">
        <f>B75-(TimingWorksheet!$A$14*(5280/3600)*C66)</f>
        <v>14.666666666666666</v>
      </c>
      <c r="C66" s="18">
        <f>C75</f>
        <v>100</v>
      </c>
      <c r="D66" s="17">
        <f>IF(OR(DiagramCalcs!$A$9&gt;0,TimingWorksheet!$A$39&lt;&gt;""),-1,DiagramCalcs!B66)</f>
        <v>-1</v>
      </c>
      <c r="E66" s="17">
        <f>IF(OR(DiagramCalcs!$A$9&gt;0,TimingWorksheet!$A$39&lt;&gt;""),-1,DiagramCalcs!C66)</f>
        <v>-1</v>
      </c>
      <c r="F66" s="21"/>
    </row>
    <row r="67" spans="1:6" x14ac:dyDescent="0.2">
      <c r="A67" s="19"/>
      <c r="B67" s="18">
        <f>B76-(TimingWorksheet!$A$14*(5280/3600)*C67)</f>
        <v>50.013333333333335</v>
      </c>
      <c r="C67" s="18">
        <f t="shared" ref="C67:C69" si="1">C76</f>
        <v>341</v>
      </c>
      <c r="D67" s="17">
        <f>IF(OR(DiagramCalcs!$A$9&gt;0,TimingWorksheet!$A$39&lt;&gt;""),-1,DiagramCalcs!B67)</f>
        <v>-1</v>
      </c>
      <c r="E67" s="17">
        <f>IF(OR(DiagramCalcs!$A$9&gt;0,TimingWorksheet!$A$39&lt;&gt;""),-1,DiagramCalcs!C67)</f>
        <v>-1</v>
      </c>
      <c r="F67" s="21"/>
    </row>
    <row r="68" spans="1:6" x14ac:dyDescent="0.2">
      <c r="A68" s="19"/>
      <c r="B68" s="18">
        <f>B77-(TimingWorksheet!$A$14*(5280/3600)*C68)</f>
        <v>1450.3866666666668</v>
      </c>
      <c r="C68" s="18">
        <f t="shared" si="1"/>
        <v>341</v>
      </c>
      <c r="D68" s="17">
        <f>IF(OR(DiagramCalcs!$A$9&gt;0,TimingWorksheet!$A$39&lt;&gt;""),-1,DiagramCalcs!B68)</f>
        <v>-1</v>
      </c>
      <c r="E68" s="17">
        <f>IF(OR(DiagramCalcs!$A$9&gt;0,TimingWorksheet!$A$39&lt;&gt;""),-1,DiagramCalcs!C68)</f>
        <v>-1</v>
      </c>
      <c r="F68" s="21"/>
    </row>
    <row r="69" spans="1:6" x14ac:dyDescent="0.2">
      <c r="A69" s="19"/>
      <c r="B69" s="18">
        <f>B78-(TimingWorksheet!$A$14*(5280/3600)*C69)</f>
        <v>600</v>
      </c>
      <c r="C69" s="18">
        <f t="shared" si="1"/>
        <v>100</v>
      </c>
      <c r="D69" s="17">
        <f>IF(OR(DiagramCalcs!$A$9&gt;0,TimingWorksheet!$A$39&lt;&gt;""),-1,DiagramCalcs!B69)</f>
        <v>-1</v>
      </c>
      <c r="E69" s="17">
        <f>IF(OR(DiagramCalcs!$A$9&gt;0,TimingWorksheet!$A$39&lt;&gt;""),-1,DiagramCalcs!C69)</f>
        <v>-1</v>
      </c>
      <c r="F69" s="21"/>
    </row>
    <row r="70" spans="1:6" x14ac:dyDescent="0.2">
      <c r="A70" s="24" t="s">
        <v>91</v>
      </c>
      <c r="B70" s="25"/>
      <c r="C70" s="25"/>
      <c r="D70" s="25"/>
      <c r="E70" s="25"/>
      <c r="F70" s="21"/>
    </row>
    <row r="71" spans="1:6" x14ac:dyDescent="0.2">
      <c r="A71" s="24"/>
      <c r="B71" s="25"/>
      <c r="C71" s="25"/>
      <c r="D71" s="25"/>
      <c r="E71" s="25"/>
      <c r="F71" s="21"/>
    </row>
    <row r="72" spans="1:6" x14ac:dyDescent="0.2">
      <c r="A72" s="24"/>
      <c r="B72" s="25"/>
      <c r="C72" s="25"/>
      <c r="D72" s="25"/>
      <c r="E72" s="25"/>
      <c r="F72" s="21"/>
    </row>
    <row r="73" spans="1:6" x14ac:dyDescent="0.2">
      <c r="A73" s="24"/>
      <c r="B73" s="25"/>
      <c r="C73" s="25"/>
      <c r="D73" s="25"/>
      <c r="E73" s="25"/>
      <c r="F73" s="21"/>
    </row>
    <row r="74" spans="1:6" x14ac:dyDescent="0.2">
      <c r="A74" s="19" t="str">
        <f>IF(DiagramCalcs!$A$9&gt;0,"","Prediction Zone (if no max-out)")</f>
        <v/>
      </c>
      <c r="B74" s="18">
        <f>TimingWorksheet!$E$37</f>
        <v>600</v>
      </c>
      <c r="C74" s="18">
        <f>TimingWorksheet!$G$37</f>
        <v>100</v>
      </c>
      <c r="D74" s="18">
        <f>IF(DiagramCalcs!$A$9&gt;0,-1,DiagramCalcs!B74)</f>
        <v>-1</v>
      </c>
      <c r="E74" s="18">
        <f>IF(DiagramCalcs!$A$9&gt;0,-1,DiagramCalcs!C74)</f>
        <v>-1</v>
      </c>
      <c r="F74" s="20" t="s">
        <v>55</v>
      </c>
    </row>
    <row r="75" spans="1:6" x14ac:dyDescent="0.2">
      <c r="A75" s="19"/>
      <c r="B75" s="18">
        <f>B45-(TimingWorksheet!$A$16*(5280/3600)*C75)</f>
        <v>14.666666666666666</v>
      </c>
      <c r="C75" s="18">
        <f>C74</f>
        <v>100</v>
      </c>
      <c r="D75" s="18">
        <f>IF(DiagramCalcs!$A$9&gt;0,-1,DiagramCalcs!B75)</f>
        <v>-1</v>
      </c>
      <c r="E75" s="18">
        <f>IF(DiagramCalcs!$A$9&gt;0,-1,DiagramCalcs!C75)</f>
        <v>-1</v>
      </c>
      <c r="F75" s="21"/>
    </row>
    <row r="76" spans="1:6" x14ac:dyDescent="0.2">
      <c r="A76" s="19"/>
      <c r="B76" s="18">
        <f>C76*(5280/3600)*(TimingWorksheet!$H$37-TimingWorksheet!$A$16)</f>
        <v>50.013333333333335</v>
      </c>
      <c r="C76" s="18">
        <f>TimingWorksheet!$F$37</f>
        <v>341</v>
      </c>
      <c r="D76" s="18">
        <f>IF(DiagramCalcs!$A$9&gt;0,-1,DiagramCalcs!B76)</f>
        <v>-1</v>
      </c>
      <c r="E76" s="18">
        <f>IF(DiagramCalcs!$A$9&gt;0,-1,DiagramCalcs!C76)</f>
        <v>-1</v>
      </c>
      <c r="F76" s="21"/>
    </row>
    <row r="77" spans="1:6" x14ac:dyDescent="0.2">
      <c r="A77" s="19"/>
      <c r="B77" s="18">
        <f>TimingWorksheet!$I$37*(5280/3600)*TimingWorksheet!$F$37</f>
        <v>1450.3866666666668</v>
      </c>
      <c r="C77" s="18">
        <f>TimingWorksheet!$F$37</f>
        <v>341</v>
      </c>
      <c r="D77" s="18">
        <f>IF(DiagramCalcs!$A$9&gt;0,-1,DiagramCalcs!B77)</f>
        <v>-1</v>
      </c>
      <c r="E77" s="18">
        <f>IF(DiagramCalcs!$A$9&gt;0,-1,DiagramCalcs!C77)</f>
        <v>-1</v>
      </c>
      <c r="F77" s="21"/>
    </row>
    <row r="78" spans="1:6" x14ac:dyDescent="0.2">
      <c r="A78" s="19"/>
      <c r="B78" s="18">
        <f>B74</f>
        <v>600</v>
      </c>
      <c r="C78" s="18">
        <f>C74</f>
        <v>100</v>
      </c>
      <c r="D78" s="18">
        <f>IF(DiagramCalcs!$A$9&gt;0,-1,DiagramCalcs!B78)</f>
        <v>-1</v>
      </c>
      <c r="E78" s="18">
        <f>IF(DiagramCalcs!$A$9&gt;0,-1,DiagramCalcs!C78)</f>
        <v>-1</v>
      </c>
      <c r="F78" s="21"/>
    </row>
    <row r="79" spans="1:6" x14ac:dyDescent="0.2">
      <c r="A79" s="24" t="s">
        <v>91</v>
      </c>
      <c r="B79" s="25"/>
      <c r="C79" s="25"/>
      <c r="D79" s="25"/>
      <c r="E79" s="25"/>
      <c r="F79" s="21"/>
    </row>
    <row r="80" spans="1:6" x14ac:dyDescent="0.2">
      <c r="A80" s="24"/>
      <c r="B80" s="25"/>
      <c r="C80" s="25"/>
      <c r="D80" s="25"/>
      <c r="E80" s="25"/>
      <c r="F80" s="21"/>
    </row>
    <row r="81" spans="1:6" x14ac:dyDescent="0.2">
      <c r="A81" s="24"/>
      <c r="B81" s="25"/>
      <c r="C81" s="25"/>
      <c r="D81" s="25"/>
      <c r="E81" s="25"/>
      <c r="F81" s="21"/>
    </row>
    <row r="82" spans="1:6" x14ac:dyDescent="0.2">
      <c r="A82" s="24"/>
      <c r="B82" s="25"/>
      <c r="C82" s="25"/>
      <c r="D82" s="25"/>
      <c r="E82" s="25"/>
      <c r="F82" s="21"/>
    </row>
    <row r="83" spans="1:6" x14ac:dyDescent="0.2">
      <c r="A83" s="16" t="str">
        <f>IF(DiagramCalcs!$A$9&gt;0,"",IF(TimingWorksheet!A39&lt;&gt;"","Locations at Onset of AWS (gap-out)","Solid lines show locations at onset of AWS (gap-out)"))</f>
        <v/>
      </c>
      <c r="B83" s="17">
        <f>$B$31</f>
        <v>600</v>
      </c>
      <c r="C83" s="17">
        <v>13</v>
      </c>
      <c r="D83" s="17">
        <f>IF(DiagramCalcs!$A$9&gt;0,-1,DiagramCalcs!B83)</f>
        <v>-1</v>
      </c>
      <c r="E83" s="17">
        <f>IF(DiagramCalcs!$A$9&gt;0,-1,DiagramCalcs!C83)</f>
        <v>-1</v>
      </c>
      <c r="F83" s="5" t="s">
        <v>52</v>
      </c>
    </row>
    <row r="84" spans="1:6" x14ac:dyDescent="0.2">
      <c r="A84" s="16" t="str">
        <f>IF(OR(DiagramCalcs!$A$9&gt;0,TimingWorksheet!$A$39&lt;&gt;""),"","Dashed lines show locations at onset of yellow")</f>
        <v/>
      </c>
      <c r="B84" s="17">
        <f>$B$31</f>
        <v>600</v>
      </c>
      <c r="C84" s="17">
        <v>8</v>
      </c>
      <c r="D84" s="17">
        <f>IF(OR(DiagramCalcs!$A$9&gt;0,TimingWorksheet!$A$39&lt;&gt;""),-1,DiagramCalcs!B84)</f>
        <v>-1</v>
      </c>
      <c r="E84" s="17">
        <f>IF(OR(DiagramCalcs!$A$9&gt;0,TimingWorksheet!$A$39&lt;&gt;""),-1,DiagramCalcs!C84)</f>
        <v>-1</v>
      </c>
      <c r="F84" s="5" t="s">
        <v>41</v>
      </c>
    </row>
    <row r="85" spans="1:6" x14ac:dyDescent="0.2">
      <c r="A85" s="16" t="str">
        <f>IF(DiagramCalcs!$A$9&gt;0,"",CONCATENATE("AWS at ",TimingWorksheet!$A$13," feet"))</f>
        <v/>
      </c>
      <c r="B85" s="17">
        <v>-1</v>
      </c>
      <c r="C85" s="17">
        <v>-1</v>
      </c>
      <c r="D85" s="17">
        <f>IF(DiagramCalcs!$A$9&gt;0,-1,DiagramCalcs!B85)</f>
        <v>-1</v>
      </c>
      <c r="E85" s="17">
        <f>IF(DiagramCalcs!$A$9&gt;0,-1,DiagramCalcs!C85)</f>
        <v>-1</v>
      </c>
      <c r="F85" s="1" t="s">
        <v>44</v>
      </c>
    </row>
    <row r="86" spans="1:6" x14ac:dyDescent="0.2">
      <c r="A86" s="16" t="str">
        <f>IF(DiagramCalcs!$A$9&gt;0,"",CONCATENATE(TimingWorksheet!$K$17," Advance Radar Unit at ",DiagramCalcs!$A$8," feet"))</f>
        <v/>
      </c>
      <c r="B86" s="17">
        <v>-1</v>
      </c>
      <c r="C86" s="17">
        <v>-1</v>
      </c>
      <c r="D86" s="17">
        <f>IF(DiagramCalcs!$A$9&gt;0,-1,DiagramCalcs!B86)</f>
        <v>-1</v>
      </c>
      <c r="E86" s="17">
        <f>IF(DiagramCalcs!$A$9&gt;0,-1,DiagramCalcs!C86)</f>
        <v>-1</v>
      </c>
      <c r="F86" s="1" t="s">
        <v>90</v>
      </c>
    </row>
    <row r="87" spans="1:6" x14ac:dyDescent="0.2">
      <c r="A87" s="16" t="str">
        <f>IF(DiagramCalcs!$A$9&gt;0,"",CONCATENATE(TimingWorksheet!A14,"s Lead Flash Time"))</f>
        <v/>
      </c>
      <c r="B87" s="17">
        <v>-1</v>
      </c>
      <c r="C87" s="17">
        <v>-1</v>
      </c>
      <c r="D87" s="17">
        <f>IF(DiagramCalcs!$A$9&gt;0,-1,DiagramCalcs!B87)</f>
        <v>-1</v>
      </c>
      <c r="E87" s="17">
        <f>IF(DiagramCalcs!$A$9&gt;0,-1,DiagramCalcs!C87)</f>
        <v>-1</v>
      </c>
      <c r="F87" s="1" t="s">
        <v>45</v>
      </c>
    </row>
    <row r="88" spans="1:6" x14ac:dyDescent="0.2">
      <c r="A88" s="16" t="str">
        <f>IF(DiagramCalcs!$A$9&gt;0,"",CONCATENATE(TimingWorksheet!A16,"s Phase Extension"))</f>
        <v/>
      </c>
      <c r="B88" s="17">
        <v>-1</v>
      </c>
      <c r="C88" s="17">
        <v>-1</v>
      </c>
      <c r="D88" s="17">
        <f>IF(DiagramCalcs!$A$9&gt;0,-1,DiagramCalcs!B88)</f>
        <v>-1</v>
      </c>
      <c r="E88" s="17">
        <f>IF(DiagramCalcs!$A$9&gt;0,-1,DiagramCalcs!C88)</f>
        <v>-1</v>
      </c>
      <c r="F88" s="1" t="s">
        <v>46</v>
      </c>
    </row>
    <row r="89" spans="1:6" x14ac:dyDescent="0.2">
      <c r="A89" s="16" t="str">
        <f>IF(DiagramCalcs!$A$9&gt;0,"",CONCATENATE("Decision Dilemma Zone ",IF(TimingWorksheet!$K$17="Extended Range","(for cars) ",""),"from ",TimingWorksheet!A19,"s to ",TimingWorksheet!A20,"s"))</f>
        <v/>
      </c>
      <c r="B89" s="17">
        <v>-1</v>
      </c>
      <c r="C89" s="17">
        <v>-1</v>
      </c>
      <c r="D89" s="17">
        <f>IF(DiagramCalcs!$A$9&gt;0,-1,DiagramCalcs!B89)</f>
        <v>-1</v>
      </c>
      <c r="E89" s="17">
        <f>IF(DiagramCalcs!$A$9&gt;0,-1,DiagramCalcs!C89)</f>
        <v>-1</v>
      </c>
      <c r="F89" s="1" t="s">
        <v>47</v>
      </c>
    </row>
    <row r="90" spans="1:6" x14ac:dyDescent="0.2">
      <c r="A90" s="16" t="str">
        <f>IF(DiagramCalcs!$A$9&gt;0,"","AWS")</f>
        <v/>
      </c>
      <c r="B90" s="17">
        <f>TimingWorksheet!$A$13</f>
        <v>0</v>
      </c>
      <c r="C90" s="17">
        <v>100</v>
      </c>
      <c r="D90" s="17">
        <f>IF(DiagramCalcs!$A$9&gt;0,-1,DiagramCalcs!B90)</f>
        <v>-1</v>
      </c>
      <c r="E90" s="17">
        <f>IF(DiagramCalcs!$A$9&gt;0,-1,DiagramCalcs!C90)</f>
        <v>-1</v>
      </c>
      <c r="F90" s="5" t="s">
        <v>42</v>
      </c>
    </row>
    <row r="91" spans="1:6" x14ac:dyDescent="0.2">
      <c r="A91" s="16"/>
      <c r="B91" s="17">
        <f>$B$90</f>
        <v>0</v>
      </c>
      <c r="C91" s="17">
        <v>0</v>
      </c>
      <c r="D91" s="17">
        <f>IF(DiagramCalcs!$A$9&gt;0,-1,DiagramCalcs!B91)</f>
        <v>-1</v>
      </c>
      <c r="E91" s="17">
        <f>IF(DiagramCalcs!$A$9&gt;0,-1,DiagramCalcs!C91)</f>
        <v>-1</v>
      </c>
    </row>
    <row r="92" spans="1:6" x14ac:dyDescent="0.2">
      <c r="A92" s="16" t="str">
        <f>IF(DiagramCalcs!$A$9&gt;0,"","↓ AWS Legible ↓")</f>
        <v/>
      </c>
      <c r="B92" s="17">
        <f>$A$7</f>
        <v>125</v>
      </c>
      <c r="C92" s="17">
        <v>100</v>
      </c>
      <c r="D92" s="17">
        <f>IF(DiagramCalcs!$A$9&gt;0,-1,DiagramCalcs!B92)</f>
        <v>-1</v>
      </c>
      <c r="E92" s="17">
        <f>IF(DiagramCalcs!$A$9&gt;0,-1,DiagramCalcs!C92)</f>
        <v>-1</v>
      </c>
      <c r="F92" s="5" t="s">
        <v>43</v>
      </c>
    </row>
    <row r="93" spans="1:6" x14ac:dyDescent="0.2">
      <c r="A93" s="16"/>
      <c r="B93" s="17">
        <f>$B$92</f>
        <v>125</v>
      </c>
      <c r="C93" s="17">
        <v>0</v>
      </c>
      <c r="D93" s="17">
        <f>IF(DiagramCalcs!$A$9&gt;0,-1,DiagramCalcs!B93)</f>
        <v>-1</v>
      </c>
      <c r="E93" s="17">
        <f>IF(DiagramCalcs!$A$9&gt;0,-1,DiagramCalcs!C93)</f>
        <v>-1</v>
      </c>
    </row>
    <row r="94" spans="1:6" x14ac:dyDescent="0.2">
      <c r="A94" s="16" t="str">
        <f>IF(DiagramCalcs!$A$9&gt;0,"",CONCATENATE("AWS Design Speed (",A5,"mph)"))</f>
        <v/>
      </c>
      <c r="B94" s="17">
        <v>0</v>
      </c>
      <c r="C94" s="17">
        <f>$A$5</f>
        <v>-10</v>
      </c>
      <c r="D94" s="17">
        <f>IF(DiagramCalcs!$A$9&gt;0,-1,DiagramCalcs!B94)</f>
        <v>-1</v>
      </c>
      <c r="E94" s="17">
        <f>IF(DiagramCalcs!$A$9&gt;0,-1,DiagramCalcs!C94)</f>
        <v>-1</v>
      </c>
      <c r="F94" s="1" t="s">
        <v>48</v>
      </c>
    </row>
    <row r="95" spans="1:6" x14ac:dyDescent="0.2">
      <c r="A95" s="16"/>
      <c r="B95" s="17">
        <v>1600</v>
      </c>
      <c r="C95" s="17">
        <f>$C$94</f>
        <v>-10</v>
      </c>
      <c r="D95" s="17">
        <f>IF(DiagramCalcs!$A$9&gt;0,-1,DiagramCalcs!B95)</f>
        <v>-1</v>
      </c>
      <c r="E95" s="17">
        <f>IF(DiagramCalcs!$A$9&gt;0,-1,DiagramCalcs!C95)</f>
        <v>-1</v>
      </c>
    </row>
    <row r="96" spans="1:6" x14ac:dyDescent="0.2">
      <c r="A96" s="19" t="str">
        <f>IF(DiagramCalcs!A9&gt;0,"ERROR! (See Above)","")</f>
        <v>ERROR! (See Above)</v>
      </c>
      <c r="B96" s="17">
        <v>700</v>
      </c>
      <c r="C96" s="18">
        <v>50</v>
      </c>
      <c r="D96" s="17">
        <f>IF(DiagramCalcs!$A$9&gt;0,DiagramCalcs!B96,"")</f>
        <v>700</v>
      </c>
      <c r="E96" s="17">
        <f>IF(DiagramCalcs!$A$9&gt;0,DiagramCalcs!C96,"")</f>
        <v>50</v>
      </c>
      <c r="F96" s="2" t="s">
        <v>36</v>
      </c>
    </row>
    <row r="97" spans="1:5" x14ac:dyDescent="0.2">
      <c r="A97" s="5" t="str">
        <f>IF($A$9&gt;0,"",IF(TimingWorksheet!$K$17="Legacy","","NOTE: Separate settings for trucks not shown on this diagram."))</f>
        <v/>
      </c>
      <c r="B97" s="27">
        <v>1600</v>
      </c>
      <c r="C97" s="27">
        <v>93</v>
      </c>
      <c r="D97" s="4">
        <f>IF(TimingWorksheet!$K$17="Legacy",-1,DiagramCalcs!B97)</f>
        <v>-1</v>
      </c>
      <c r="E97" s="4">
        <f>IF(TimingWorksheet!$K$17="Legacy",-1,DiagramCalcs!C97)</f>
        <v>-1</v>
      </c>
    </row>
  </sheetData>
  <sheetProtection sheet="1" objects="1" scenarios="1"/>
  <phoneticPr fontId="1"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C2"/>
  <sheetViews>
    <sheetView workbookViewId="0">
      <selection activeCell="A3" sqref="A3"/>
    </sheetView>
  </sheetViews>
  <sheetFormatPr defaultRowHeight="12.75" x14ac:dyDescent="0.2"/>
  <cols>
    <col min="1" max="1" width="8.140625" bestFit="1" customWidth="1"/>
    <col min="2" max="2" width="9.85546875" bestFit="1" customWidth="1"/>
    <col min="3" max="3" width="231.85546875" style="138" customWidth="1"/>
  </cols>
  <sheetData>
    <row r="1" spans="1:3" s="139" customFormat="1" x14ac:dyDescent="0.2">
      <c r="A1" s="139" t="s">
        <v>140</v>
      </c>
      <c r="B1" s="139" t="s">
        <v>141</v>
      </c>
      <c r="C1" s="140" t="s">
        <v>142</v>
      </c>
    </row>
    <row r="2" spans="1:3" x14ac:dyDescent="0.2">
      <c r="A2" s="135">
        <v>43565</v>
      </c>
      <c r="B2" s="136" t="s">
        <v>139</v>
      </c>
      <c r="C2" s="137" t="s">
        <v>143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TimingWorksheet</vt:lpstr>
      <vt:lpstr>BlankTimingWorksheet</vt:lpstr>
      <vt:lpstr>DesignWorksheet</vt:lpstr>
      <vt:lpstr>DiagramCalcs</vt:lpstr>
      <vt:lpstr>Revision History</vt:lpstr>
      <vt:lpstr>BlankTimingWorksheet!Print_Area</vt:lpstr>
      <vt:lpstr>DesignWorksheet!Print_Area</vt:lpstr>
      <vt:lpstr>TimingWorksheet!Print_Area</vt:lpstr>
    </vt:vector>
  </TitlesOfParts>
  <Company>udot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Taylor</dc:creator>
  <cp:lastModifiedBy>Mark Taylor</cp:lastModifiedBy>
  <cp:lastPrinted>2019-04-10T19:45:04Z</cp:lastPrinted>
  <dcterms:created xsi:type="dcterms:W3CDTF">2010-09-29T22:50:47Z</dcterms:created>
  <dcterms:modified xsi:type="dcterms:W3CDTF">2019-04-16T16:09:19Z</dcterms:modified>
</cp:coreProperties>
</file>